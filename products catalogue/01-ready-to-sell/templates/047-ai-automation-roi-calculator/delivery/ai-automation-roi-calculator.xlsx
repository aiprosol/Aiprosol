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12-Month Projection" sheetId="3" state="visible" r:id="rId3"/>
    <sheet xmlns:r="http://schemas.openxmlformats.org/officeDocument/2006/relationships" name="Output (1-page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8B5CF6"/>
      <sz val="22"/>
    </font>
    <font>
      <name val="Calibri"/>
      <color rgb="006B7585"/>
      <sz val="11"/>
    </font>
    <font>
      <name val="Calibri"/>
      <b val="1"/>
      <color rgb="008B5CF6"/>
      <sz val="12"/>
    </font>
    <font>
      <name val="Calibri"/>
      <sz val="11"/>
    </font>
    <font>
      <name val="Calibri"/>
      <b val="1"/>
      <sz val="11"/>
    </font>
    <font>
      <name val="Calibri"/>
      <i val="1"/>
      <color rgb="006B7585"/>
      <sz val="10"/>
    </font>
    <font>
      <name val="Calibri"/>
      <b val="1"/>
      <color rgb="008B5CF6"/>
      <sz val="14"/>
    </font>
    <font>
      <name val="Calibri"/>
      <b val="1"/>
      <color rgb="008B5CF6"/>
      <sz val="11"/>
    </font>
    <font>
      <b val="1"/>
      <color rgb="00FFFFFF"/>
    </font>
    <font>
      <b val="1"/>
      <color rgb="008B5CF6"/>
      <sz val="22"/>
    </font>
    <font>
      <b val="1"/>
      <sz val="12"/>
    </font>
    <font>
      <color rgb="008B5CF6"/>
      <sz val="14"/>
    </font>
  </fonts>
  <fills count="5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Net Savings ($)</a:t>
            </a:r>
          </a:p>
        </rich>
      </tx>
    </title>
    <plotArea>
      <lineChart>
        <grouping val="standard"/>
        <ser>
          <idx val="0"/>
          <order val="0"/>
          <tx>
            <strRef>
              <f>'12-Month Projection'!F3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'12-Month Projection'!$A$4:$A$15</f>
            </numRef>
          </cat>
          <val>
            <numRef>
              <f>'12-Month Projection'!$F$4:$F$15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60" customWidth="1" min="3" max="3"/>
  </cols>
  <sheetData>
    <row r="1">
      <c r="A1" s="1" t="inlineStr">
        <is>
          <t>AI Automation ROI Calculator</t>
        </is>
      </c>
    </row>
    <row r="2">
      <c r="A2" s="2" t="inlineStr">
        <is>
          <t>Aiprosol · 2026 · Fill in B-column cells in yellow</t>
        </is>
      </c>
    </row>
    <row r="4">
      <c r="A4" s="3" t="inlineStr">
        <is>
          <t>VOLUME</t>
        </is>
      </c>
    </row>
    <row r="5">
      <c r="A5" s="4" t="inlineStr">
        <is>
          <t>Transactions per month (current)</t>
        </is>
      </c>
      <c r="B5" s="5" t="n">
        <v>1000</v>
      </c>
      <c r="C5" s="6" t="inlineStr">
        <is>
          <t>Count of items currently processed</t>
        </is>
      </c>
    </row>
    <row r="6">
      <c r="A6" s="4" t="inlineStr">
        <is>
          <t>Transactions per month (projected with automation)</t>
        </is>
      </c>
      <c r="B6" s="5" t="n">
        <v>1000</v>
      </c>
      <c r="C6" s="6" t="inlineStr">
        <is>
          <t>Will it stay the same or grow?</t>
        </is>
      </c>
    </row>
    <row r="8">
      <c r="A8" s="3" t="inlineStr">
        <is>
          <t>TIME</t>
        </is>
      </c>
    </row>
    <row r="9">
      <c r="A9" s="4" t="inlineStr">
        <is>
          <t>Average time per transaction — manual (minutes)</t>
        </is>
      </c>
      <c r="B9" s="5" t="n">
        <v>5</v>
      </c>
      <c r="C9" s="6" t="inlineStr">
        <is>
          <t>How long currently</t>
        </is>
      </c>
    </row>
    <row r="10">
      <c r="A10" s="4" t="inlineStr">
        <is>
          <t>Average time per transaction — automated (minutes)</t>
        </is>
      </c>
      <c r="B10" s="5" t="n">
        <v>0.5</v>
      </c>
      <c r="C10" s="6" t="inlineStr">
        <is>
          <t>How long after</t>
        </is>
      </c>
    </row>
    <row r="11">
      <c r="A11" s="4" t="inlineStr">
        <is>
          <t>Working hours per month</t>
        </is>
      </c>
      <c r="B11" s="5" t="n">
        <v>160</v>
      </c>
      <c r="C11" s="6" t="inlineStr">
        <is>
          <t>Standard ~160 = 40 × 4 weeks</t>
        </is>
      </c>
    </row>
    <row r="13">
      <c r="A13" s="3" t="inlineStr">
        <is>
          <t>PEOPLE COSTS</t>
        </is>
      </c>
    </row>
    <row r="14">
      <c r="A14" s="4" t="inlineStr">
        <is>
          <t>Fully-loaded labour cost per hour (USD)</t>
        </is>
      </c>
      <c r="B14" s="5" t="n">
        <v>50</v>
      </c>
      <c r="C14" s="6" t="inlineStr">
        <is>
          <t>Salary × 1.4 typically, ÷ working hours</t>
        </is>
      </c>
    </row>
    <row r="15">
      <c r="A15" s="4" t="inlineStr">
        <is>
          <t>Number of people doing this work currently</t>
        </is>
      </c>
      <c r="B15" s="5" t="n">
        <v>2</v>
      </c>
      <c r="C15" s="6" t="inlineStr">
        <is>
          <t>Headcount touching this process</t>
        </is>
      </c>
    </row>
    <row r="17">
      <c r="A17" s="3" t="inlineStr">
        <is>
          <t>IMPLEMENTATION COSTS</t>
        </is>
      </c>
    </row>
    <row r="18">
      <c r="A18" s="4" t="inlineStr">
        <is>
          <t>One-time implementation cost (USD)</t>
        </is>
      </c>
      <c r="B18" s="5" t="n">
        <v>5000</v>
      </c>
      <c r="C18" s="6" t="inlineStr">
        <is>
          <t>Build + onboarding</t>
        </is>
      </c>
    </row>
    <row r="19">
      <c r="A19" s="4" t="inlineStr">
        <is>
          <t>Monthly tool cost (USD)</t>
        </is>
      </c>
      <c r="B19" s="5" t="n">
        <v>50</v>
      </c>
      <c r="C19" s="6" t="inlineStr">
        <is>
          <t>n8n + OpenAI + ancillary tools</t>
        </is>
      </c>
    </row>
    <row r="20">
      <c r="A20" s="4" t="inlineStr">
        <is>
          <t>Monthly maintenance hours</t>
        </is>
      </c>
      <c r="B20" s="5" t="n">
        <v>4</v>
      </c>
      <c r="C20" s="6" t="inlineStr">
        <is>
          <t>Hours/month to monitor + fix</t>
        </is>
      </c>
    </row>
    <row r="22">
      <c r="A22" s="3" t="inlineStr">
        <is>
          <t>CONFIDENCE</t>
        </is>
      </c>
    </row>
    <row r="23">
      <c r="A23" s="4" t="inlineStr">
        <is>
          <t>Quality vs manual (1=worse, 1.0=same, &gt;1=better)</t>
        </is>
      </c>
      <c r="B23" s="5" t="n">
        <v>1</v>
      </c>
      <c r="C23" s="6" t="inlineStr">
        <is>
          <t>Adjust if AI improves quality</t>
        </is>
      </c>
    </row>
    <row r="24">
      <c r="A24" s="4" t="inlineStr">
        <is>
          <t>Adoption ramp curve — month 1</t>
        </is>
      </c>
      <c r="B24" s="5" t="n">
        <v>0.3</v>
      </c>
      <c r="C24" s="6" t="inlineStr">
        <is>
          <t>Fraction of full benefit in month 1</t>
        </is>
      </c>
    </row>
    <row r="25">
      <c r="A25" s="4" t="inlineStr">
        <is>
          <t>Adoption ramp curve — month 3</t>
        </is>
      </c>
      <c r="B25" s="5" t="n">
        <v>0.8</v>
      </c>
      <c r="C25" s="6" t="inlineStr">
        <is>
          <t>Fraction of full benefit by month 3</t>
        </is>
      </c>
    </row>
    <row r="26">
      <c r="A26" s="4" t="inlineStr">
        <is>
          <t>Adoption ramp curve — month 6+</t>
        </is>
      </c>
      <c r="B26" s="5" t="n">
        <v>1</v>
      </c>
      <c r="C26" s="6" t="inlineStr">
        <is>
          <t>Fraction of full benefit at maturity</t>
        </is>
      </c>
    </row>
    <row r="27">
      <c r="A27" s="4" t="inlineStr">
        <is>
          <t>Risk-adjusted confidence (0-1)</t>
        </is>
      </c>
      <c r="B27" s="5" t="n">
        <v>0.8</v>
      </c>
      <c r="C27" s="6" t="inlineStr">
        <is>
          <t>Apply this haircut to projected savings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</cols>
  <sheetData>
    <row r="1">
      <c r="A1" s="7" t="inlineStr">
        <is>
          <t>Auto-computed — do not edit</t>
        </is>
      </c>
    </row>
    <row r="3">
      <c r="A3" s="4" t="inlineStr">
        <is>
          <t>Hours saved per month at maturity</t>
        </is>
      </c>
      <c r="B3" s="8">
        <f>Inputs!B7*(Inputs!B10-Inputs!B11)/60</f>
        <v/>
      </c>
    </row>
    <row r="4">
      <c r="A4" s="4" t="inlineStr">
        <is>
          <t>Monthly $ saved at maturity (gross)</t>
        </is>
      </c>
      <c r="B4" s="8">
        <f>B3*Inputs!B14</f>
        <v/>
      </c>
    </row>
    <row r="5">
      <c r="A5" s="4" t="inlineStr">
        <is>
          <t>Monthly maintenance cost ($)</t>
        </is>
      </c>
      <c r="B5" s="8">
        <f>Inputs!B22*Inputs!B14</f>
        <v/>
      </c>
    </row>
    <row r="6">
      <c r="A6" s="4" t="inlineStr">
        <is>
          <t>Net monthly savings at maturity ($)</t>
        </is>
      </c>
      <c r="B6" s="8">
        <f>B4-B5-Inputs!B21</f>
        <v/>
      </c>
    </row>
    <row r="7">
      <c r="A7" s="4" t="inlineStr">
        <is>
          <t>Risk-adjusted net monthly savings ($)</t>
        </is>
      </c>
      <c r="B7" s="8">
        <f>B6*Inputs!B30</f>
        <v/>
      </c>
    </row>
    <row r="8">
      <c r="A8" s="4" t="inlineStr"/>
    </row>
    <row r="9">
      <c r="A9" s="4" t="inlineStr">
        <is>
          <t>Implementation cost ($)</t>
        </is>
      </c>
      <c r="B9" s="8">
        <f>Inputs!B20</f>
        <v/>
      </c>
    </row>
    <row r="10">
      <c r="A10" s="4" t="inlineStr">
        <is>
          <t>Payback period at maturity (months)</t>
        </is>
      </c>
      <c r="B10" s="8">
        <f>IF(B7&gt;0, B9/B7, "N/A")</f>
        <v/>
      </c>
    </row>
    <row r="11">
      <c r="A11" s="4" t="inlineStr"/>
    </row>
    <row r="12">
      <c r="A12" s="4" t="inlineStr">
        <is>
          <t>12-month gross savings ($) — accounting for ramp</t>
        </is>
      </c>
      <c r="B12" s="8">
        <f>B7*(Inputs!B27*3 + Inputs!B28*3 + Inputs!B29*6) - B9</f>
        <v/>
      </c>
    </row>
    <row r="13">
      <c r="A13" s="4" t="inlineStr">
        <is>
          <t>12-month savings at NPV (8% discount)</t>
        </is>
      </c>
      <c r="B13" s="8">
        <f>B12 / 1.08</f>
        <v/>
      </c>
    </row>
    <row r="14">
      <c r="A14" s="4" t="inlineStr"/>
    </row>
    <row r="15">
      <c r="A15" s="4" t="inlineStr">
        <is>
          <t>ROI multiple over 12 months</t>
        </is>
      </c>
      <c r="B15" s="8">
        <f>IF(B9&gt;0, B12/B9, "N/A")</f>
        <v/>
      </c>
    </row>
    <row r="16">
      <c r="A16" s="4" t="inlineStr">
        <is>
          <t>Hours/year reclaimed</t>
        </is>
      </c>
      <c r="B16" s="8">
        <f>B3*12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7" t="inlineStr">
        <is>
          <t>12-Month Cash Flow Projection</t>
        </is>
      </c>
    </row>
    <row r="3">
      <c r="A3" s="9" t="inlineStr">
        <is>
          <t>Month</t>
        </is>
      </c>
      <c r="B3" s="9" t="inlineStr">
        <is>
          <t>Adoption %</t>
        </is>
      </c>
      <c r="C3" s="9" t="inlineStr">
        <is>
          <t>Gross $ saved</t>
        </is>
      </c>
      <c r="D3" s="9" t="inlineStr">
        <is>
          <t>Maintenance $</t>
        </is>
      </c>
      <c r="E3" s="9" t="inlineStr">
        <is>
          <t>Net $ saved</t>
        </is>
      </c>
      <c r="F3" s="9" t="inlineStr">
        <is>
          <t>Cumulative net</t>
        </is>
      </c>
    </row>
    <row r="4">
      <c r="A4" t="n">
        <v>1</v>
      </c>
      <c r="B4">
        <f>Inputs!B27</f>
        <v/>
      </c>
      <c r="C4">
        <f>B4*Calculations!B4</f>
        <v/>
      </c>
      <c r="D4">
        <f>Calculations!B5</f>
        <v/>
      </c>
      <c r="E4">
        <f>C4-D4-IF(1=1, Inputs!B20, 0)</f>
        <v/>
      </c>
      <c r="F4">
        <f>E4</f>
        <v/>
      </c>
    </row>
    <row r="5">
      <c r="A5" t="n">
        <v>2</v>
      </c>
      <c r="B5">
        <f>Inputs!B27</f>
        <v/>
      </c>
      <c r="C5">
        <f>B5*Calculations!B4</f>
        <v/>
      </c>
      <c r="D5">
        <f>Calculations!B5</f>
        <v/>
      </c>
      <c r="E5">
        <f>C5-D5-IF(2=1, Inputs!B20, 0)</f>
        <v/>
      </c>
      <c r="F5">
        <f>F4+E5</f>
        <v/>
      </c>
    </row>
    <row r="6">
      <c r="A6" t="n">
        <v>3</v>
      </c>
      <c r="B6">
        <f>Inputs!B27</f>
        <v/>
      </c>
      <c r="C6">
        <f>B6*Calculations!B4</f>
        <v/>
      </c>
      <c r="D6">
        <f>Calculations!B5</f>
        <v/>
      </c>
      <c r="E6">
        <f>C6-D6-IF(3=1, Inputs!B20, 0)</f>
        <v/>
      </c>
      <c r="F6">
        <f>F5+E6</f>
        <v/>
      </c>
    </row>
    <row r="7">
      <c r="A7" t="n">
        <v>4</v>
      </c>
      <c r="B7">
        <f>Inputs!B28</f>
        <v/>
      </c>
      <c r="C7">
        <f>B7*Calculations!B4</f>
        <v/>
      </c>
      <c r="D7">
        <f>Calculations!B5</f>
        <v/>
      </c>
      <c r="E7">
        <f>C7-D7-IF(4=1, Inputs!B20, 0)</f>
        <v/>
      </c>
      <c r="F7">
        <f>F6+E7</f>
        <v/>
      </c>
    </row>
    <row r="8">
      <c r="A8" t="n">
        <v>5</v>
      </c>
      <c r="B8">
        <f>Inputs!B28</f>
        <v/>
      </c>
      <c r="C8">
        <f>B8*Calculations!B4</f>
        <v/>
      </c>
      <c r="D8">
        <f>Calculations!B5</f>
        <v/>
      </c>
      <c r="E8">
        <f>C8-D8-IF(5=1, Inputs!B20, 0)</f>
        <v/>
      </c>
      <c r="F8">
        <f>F7+E8</f>
        <v/>
      </c>
    </row>
    <row r="9">
      <c r="A9" t="n">
        <v>6</v>
      </c>
      <c r="B9">
        <f>Inputs!B28</f>
        <v/>
      </c>
      <c r="C9">
        <f>B9*Calculations!B4</f>
        <v/>
      </c>
      <c r="D9">
        <f>Calculations!B5</f>
        <v/>
      </c>
      <c r="E9">
        <f>C9-D9-IF(6=1, Inputs!B20, 0)</f>
        <v/>
      </c>
      <c r="F9">
        <f>F8+E9</f>
        <v/>
      </c>
    </row>
    <row r="10">
      <c r="A10" t="n">
        <v>7</v>
      </c>
      <c r="B10">
        <f>Inputs!B29</f>
        <v/>
      </c>
      <c r="C10">
        <f>B10*Calculations!B4</f>
        <v/>
      </c>
      <c r="D10">
        <f>Calculations!B5</f>
        <v/>
      </c>
      <c r="E10">
        <f>C10-D10-IF(7=1, Inputs!B20, 0)</f>
        <v/>
      </c>
      <c r="F10">
        <f>F9+E10</f>
        <v/>
      </c>
    </row>
    <row r="11">
      <c r="A11" t="n">
        <v>8</v>
      </c>
      <c r="B11">
        <f>Inputs!B29</f>
        <v/>
      </c>
      <c r="C11">
        <f>B11*Calculations!B4</f>
        <v/>
      </c>
      <c r="D11">
        <f>Calculations!B5</f>
        <v/>
      </c>
      <c r="E11">
        <f>C11-D11-IF(8=1, Inputs!B20, 0)</f>
        <v/>
      </c>
      <c r="F11">
        <f>F10+E11</f>
        <v/>
      </c>
    </row>
    <row r="12">
      <c r="A12" t="n">
        <v>9</v>
      </c>
      <c r="B12">
        <f>Inputs!B29</f>
        <v/>
      </c>
      <c r="C12">
        <f>B12*Calculations!B4</f>
        <v/>
      </c>
      <c r="D12">
        <f>Calculations!B5</f>
        <v/>
      </c>
      <c r="E12">
        <f>C12-D12-IF(9=1, Inputs!B20, 0)</f>
        <v/>
      </c>
      <c r="F12">
        <f>F11+E12</f>
        <v/>
      </c>
    </row>
    <row r="13">
      <c r="A13" t="n">
        <v>10</v>
      </c>
      <c r="B13">
        <f>Inputs!B29</f>
        <v/>
      </c>
      <c r="C13">
        <f>B13*Calculations!B4</f>
        <v/>
      </c>
      <c r="D13">
        <f>Calculations!B5</f>
        <v/>
      </c>
      <c r="E13">
        <f>C13-D13-IF(10=1, Inputs!B20, 0)</f>
        <v/>
      </c>
      <c r="F13">
        <f>F12+E13</f>
        <v/>
      </c>
    </row>
    <row r="14">
      <c r="A14" t="n">
        <v>11</v>
      </c>
      <c r="B14">
        <f>Inputs!B29</f>
        <v/>
      </c>
      <c r="C14">
        <f>B14*Calculations!B4</f>
        <v/>
      </c>
      <c r="D14">
        <f>Calculations!B5</f>
        <v/>
      </c>
      <c r="E14">
        <f>C14-D14-IF(11=1, Inputs!B20, 0)</f>
        <v/>
      </c>
      <c r="F14">
        <f>F13+E14</f>
        <v/>
      </c>
    </row>
    <row r="15">
      <c r="A15" t="n">
        <v>12</v>
      </c>
      <c r="B15">
        <f>Inputs!B29</f>
        <v/>
      </c>
      <c r="C15">
        <f>B15*Calculations!B4</f>
        <v/>
      </c>
      <c r="D15">
        <f>Calculations!B5</f>
        <v/>
      </c>
      <c r="E15">
        <f>C15-D15-IF(12=1, Inputs!B20, 0)</f>
        <v/>
      </c>
      <c r="F15">
        <f>F14+E15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0" t="inlineStr">
        <is>
          <t>ROI Summary</t>
        </is>
      </c>
    </row>
    <row r="3">
      <c r="A3" s="11" t="inlineStr">
        <is>
          <t>Monthly net savings</t>
        </is>
      </c>
      <c r="B3" s="12">
        <f>Calculations!B6</f>
        <v/>
      </c>
    </row>
    <row r="4">
      <c r="A4" s="11" t="inlineStr">
        <is>
          <t>Payback period</t>
        </is>
      </c>
      <c r="B4" s="12">
        <f>Calculations!B10 &amp; " months"</f>
        <v/>
      </c>
    </row>
    <row r="5">
      <c r="A5" s="11" t="inlineStr">
        <is>
          <t>12-month gross savings</t>
        </is>
      </c>
      <c r="B5" s="12">
        <f>Calculations!B12</f>
        <v/>
      </c>
    </row>
    <row r="6">
      <c r="A6" s="11" t="inlineStr">
        <is>
          <t>ROI multiple (12mo)</t>
        </is>
      </c>
      <c r="B6" s="12">
        <f>Calculations!B14 &amp; "x"</f>
        <v/>
      </c>
    </row>
    <row r="7">
      <c r="A7" s="11" t="inlineStr">
        <is>
          <t>Hours reclaimed / year</t>
        </is>
      </c>
      <c r="B7" s="12">
        <f>Calculations!B15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2026-05-12T11:08:28Z</dcterms:created>
  <dcterms:modified xmlns:dcterms="http://purl.org/dc/terms/" xmlns:xsi="http://www.w3.org/2001/XMLSchema-instance" xsi:type="dcterms:W3CDTF">2026-05-12T11:08:28Z</dcterms:modified>
</cp:coreProperties>
</file>