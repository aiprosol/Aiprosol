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ndustry benchmarks" sheetId="2" state="visible" r:id="rId2"/>
    <sheet name="Output" sheetId="3" state="visible" r:id="rId3"/>
    <sheet name="Sensitivity" sheetId="4" state="visible" r:id="rId4"/>
    <sheet name="Scenario comparison" sheetId="5" state="visible" r:id="rId5"/>
  </sheets>
  <definedNames>
    <definedName name="employees">Inputs!$B$3</definedName>
    <definedName name="manual_hrs">Inputs!$B$4</definedName>
    <definedName name="hourly_cost">Inputs!$B$5</definedName>
    <definedName name="industry">Inputs!$B$6</definedName>
    <definedName name="annual_plan">Inputs!$B$7</definedName>
    <definedName name="benchmark_table">'Industry benchmarks'!$A$2:$B$10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&quot;£&quot;#,##0"/>
    <numFmt numFmtId="165" formatCode="0.0"/>
    <numFmt numFmtId="166" formatCode="0.0&quot; hrs&quot;"/>
    <numFmt numFmtId="167" formatCode="#,##0&quot; hrs&quot;"/>
    <numFmt numFmtId="168" formatCode="0&quot;%&quot;"/>
    <numFmt numFmtId="169" formatCode="0.0&quot; mo&quot;"/>
    <numFmt numFmtId="170" formatCode="&quot;£&quot;#,##0;(&quot;£&quot;#,##0);-"/>
    <numFmt numFmtId="171" formatCode="0.0;-;-"/>
    <numFmt numFmtId="172" formatCode="0&quot;%&quot;;(0&quot;%&quot;);-"/>
  </numFmts>
  <fonts count="11">
    <font>
      <name val="Calibri"/>
      <family val="2"/>
      <color theme="1"/>
      <sz val="11"/>
      <scheme val="minor"/>
    </font>
    <font>
      <name val="Arial"/>
      <b val="1"/>
      <color rgb="008B5CF6"/>
      <sz val="16"/>
    </font>
    <font>
      <name val="Arial"/>
      <i val="1"/>
      <color rgb="006B7585"/>
      <sz val="9"/>
    </font>
    <font>
      <name val="Arial"/>
      <b val="1"/>
      <sz val="11"/>
    </font>
    <font>
      <name val="Arial"/>
      <color rgb="000000FF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008000"/>
      <sz val="10"/>
    </font>
    <font>
      <name val="Arial"/>
      <b val="1"/>
      <sz val="14"/>
    </font>
    <font>
      <name val="Arial"/>
      <b val="1"/>
      <color rgb="008B5CF6"/>
      <sz val="14"/>
    </font>
    <font>
      <name val="Arial"/>
      <b val="1"/>
      <color rgb="008B5CF6"/>
      <sz val="11"/>
    </font>
  </fonts>
  <fills count="4">
    <fill>
      <patternFill/>
    </fill>
    <fill>
      <patternFill patternType="gray125"/>
    </fill>
    <fill>
      <patternFill patternType="solid">
        <fgColor rgb="00EDE4FF"/>
      </patternFill>
    </fill>
    <fill>
      <patternFill patternType="solid">
        <fgColor rgb="008B5CF6"/>
      </patternFill>
    </fill>
  </fills>
  <borders count="2">
    <border>
      <left/>
      <right/>
      <top/>
      <bottom/>
      <diagonal/>
    </border>
    <border>
      <left style="thin">
        <color rgb="00D0D0D8"/>
      </left>
      <right style="thin">
        <color rgb="00D0D0D8"/>
      </right>
      <top style="thin">
        <color rgb="00D0D0D8"/>
      </top>
      <bottom style="thin">
        <color rgb="00D0D0D8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" fontId="4" fillId="2" borderId="1" pivotButton="0" quotePrefix="0" xfId="0"/>
    <xf numFmtId="164" fontId="4" fillId="2" borderId="1" pivotButton="0" quotePrefix="0" xfId="0"/>
    <xf numFmtId="0" fontId="4" fillId="2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left"/>
    </xf>
    <xf numFmtId="0" fontId="5" fillId="0" borderId="1" pivotButton="0" quotePrefix="0" xfId="0"/>
    <xf numFmtId="165" fontId="5" fillId="0" borderId="1" pivotButton="0" quotePrefix="0" xfId="0"/>
    <xf numFmtId="164" fontId="5" fillId="0" borderId="0" pivotButton="0" quotePrefix="0" xfId="0"/>
    <xf numFmtId="166" fontId="7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164" fontId="5" fillId="2" borderId="0" pivotButton="0" quotePrefix="0" xfId="0"/>
    <xf numFmtId="164" fontId="7" fillId="0" borderId="0" pivotButton="0" quotePrefix="0" xfId="0"/>
    <xf numFmtId="0" fontId="8" fillId="0" borderId="0" pivotButton="0" quotePrefix="0" xfId="0"/>
    <xf numFmtId="170" fontId="9" fillId="2" borderId="1" pivotButton="0" quotePrefix="0" xfId="0"/>
    <xf numFmtId="168" fontId="5" fillId="0" borderId="0" pivotButton="0" quotePrefix="0" xfId="0"/>
    <xf numFmtId="169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/>
    </xf>
    <xf numFmtId="164" fontId="6" fillId="3" borderId="1" applyAlignment="1" pivotButton="0" quotePrefix="0" xfId="0">
      <alignment horizontal="center"/>
    </xf>
    <xf numFmtId="170" fontId="5" fillId="0" borderId="1" applyAlignment="1" pivotButton="0" quotePrefix="0" xfId="0">
      <alignment horizontal="right"/>
    </xf>
    <xf numFmtId="171" fontId="5" fillId="0" borderId="1" applyAlignment="1" pivotButton="0" quotePrefix="0" xfId="0">
      <alignment horizontal="right"/>
    </xf>
    <xf numFmtId="171" fontId="7" fillId="0" borderId="1" applyAlignment="1" pivotButton="0" quotePrefix="0" xfId="0">
      <alignment horizontal="right"/>
    </xf>
    <xf numFmtId="170" fontId="7" fillId="0" borderId="1" applyAlignment="1" pivotButton="0" quotePrefix="0" xfId="0">
      <alignment horizontal="right"/>
    </xf>
    <xf numFmtId="170" fontId="10" fillId="2" borderId="1" applyAlignment="1" pivotButton="0" quotePrefix="0" xfId="0">
      <alignment horizontal="right"/>
    </xf>
    <xf numFmtId="172" fontId="5" fillId="0" borderId="1" applyAlignment="1" pivotButton="0" quotePrefix="0" xfId="0">
      <alignment horizontal="right"/>
    </xf>
    <xf numFmtId="172" fontId="7" fillId="0" borderId="1" applyAlignment="1" pivotButton="0" quotePrefix="0" xfId="0">
      <alignment horizontal="right"/>
    </xf>
  </cellXfs>
  <cellStyles count="1">
    <cellStyle name="Normal" xfId="0" builtinId="0" hidden="0"/>
  </cellStyles>
  <dxfs count="4">
    <dxf>
      <font>
        <name val="Arial"/>
        <b val="1"/>
        <color rgb="00008000"/>
        <sz val="14"/>
      </font>
      <fill>
        <patternFill patternType="solid">
          <fgColor rgb="00E8FAEF"/>
        </patternFill>
      </fill>
    </dxf>
    <dxf>
      <font>
        <name val="Arial"/>
        <b val="1"/>
        <color rgb="00C00000"/>
        <sz val="14"/>
      </font>
      <fill>
        <patternFill patternType="solid">
          <fgColor rgb="00FCE8E8"/>
        </patternFill>
      </fill>
    </dxf>
    <dxf>
      <fill>
        <patternFill patternType="solid">
          <fgColor rgb="00E8FAEF"/>
        </patternFill>
      </fill>
    </dxf>
    <dxf>
      <fill>
        <patternFill patternType="solid">
          <fgColor rgb="00FCE8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14" customWidth="1" min="3" max="3"/>
  </cols>
  <sheetData>
    <row r="1">
      <c r="A1" s="1" t="inlineStr">
        <is>
          <t>Aiprosol — AI Automation ROI Calculator</t>
        </is>
      </c>
    </row>
    <row r="2">
      <c r="A2" s="2" t="inlineStr">
        <is>
          <t>v1.0 · 2026 · enter your numbers in the BLUE cells</t>
        </is>
      </c>
    </row>
    <row r="3">
      <c r="A3" s="3" t="inlineStr">
        <is>
          <t>Team size (employees)</t>
        </is>
      </c>
      <c r="B3" s="4" t="n">
        <v>25</v>
      </c>
    </row>
    <row r="4">
      <c r="A4" s="3" t="inlineStr">
        <is>
          <t>Manual hrs/week per employee</t>
        </is>
      </c>
      <c r="B4" s="4" t="n">
        <v>18</v>
      </c>
    </row>
    <row r="5">
      <c r="A5" s="3" t="inlineStr">
        <is>
          <t>Avg loaded hourly cost (£)</t>
        </is>
      </c>
      <c r="B5" s="5" t="n">
        <v>45</v>
      </c>
    </row>
    <row r="6">
      <c r="A6" s="3" t="inlineStr">
        <is>
          <t>Industry</t>
        </is>
      </c>
      <c r="B6" s="6" t="inlineStr">
        <is>
          <t>Professional Services</t>
        </is>
      </c>
    </row>
    <row r="7">
      <c r="A7" s="3" t="inlineStr">
        <is>
          <t>Annual Aiprosol plan cost (£)</t>
        </is>
      </c>
      <c r="B7" s="5" t="n">
        <v>11964</v>
      </c>
    </row>
    <row r="9">
      <c r="A9" s="3" t="inlineStr">
        <is>
          <t>How to use this calculator</t>
        </is>
      </c>
    </row>
    <row r="10">
      <c r="A10" s="7" t="inlineStr">
        <is>
          <t>Edit the BLUE cells above. The Output sheet recalculates instantly.</t>
        </is>
      </c>
    </row>
    <row r="11">
      <c r="A11" s="7" t="inlineStr">
        <is>
          <t>Industry benchmarks come from the Industry benchmarks sheet — public research + Aiprosol pilot data.</t>
        </is>
      </c>
    </row>
    <row r="12">
      <c r="A12" s="7" t="inlineStr">
        <is>
          <t>Sensitivity sheet shows what happens if hourly cost / team size move plus/minus 20-50%.</t>
        </is>
      </c>
    </row>
    <row r="13">
      <c r="A13" s="7" t="inlineStr">
        <is>
          <t>Scenario comparison sheet contrasts current state vs Starter (£997/mo) vs Growth (£2,997/mo) plans.</t>
        </is>
      </c>
    </row>
    <row r="15">
      <c r="A15" s="3" t="inlineStr">
        <is>
          <t>Methodology</t>
        </is>
      </c>
    </row>
    <row r="16">
      <c r="A16" s="7" t="inlineStr">
        <is>
          <t>Annual savings = hours reclaimed/wk × employees × hourly cost × 50 working weeks.</t>
        </is>
      </c>
    </row>
    <row r="17">
      <c r="A17" s="7" t="inlineStr">
        <is>
          <t>Hours reclaimed/wk = MIN(manual hrs, industry benchmark) — capped at what you actually have.</t>
        </is>
      </c>
    </row>
    <row r="18">
      <c r="A18" s="7" t="inlineStr">
        <is>
          <t>ROI % = (annual savings - annual plan) / annual plan × 100.</t>
        </is>
      </c>
    </row>
    <row r="19">
      <c r="A19" s="7" t="inlineStr">
        <is>
          <t>Payback months = annual plan / (annual savings ÷ 12).</t>
        </is>
      </c>
    </row>
    <row r="21">
      <c r="A21" s="2" t="inlineStr">
        <is>
          <t>Color coding · BLUE = your inputs · BLACK = formulas · GREEN = links from another sheet</t>
        </is>
      </c>
    </row>
  </sheetData>
  <mergeCells count="3">
    <mergeCell ref="A1:C1"/>
    <mergeCell ref="A21:E21"/>
    <mergeCell ref="A2:C2"/>
  </mergeCells>
  <dataValidations count="1">
    <dataValidation sqref="B6" showDropDown="0" showInputMessage="0" showErrorMessage="0" allowBlank="0" type="list">
      <formula1>"Legal,Real Estate,Manufacturing,E-commerce,Financial Services,Healthcare,SaaS,Professional Services,Other"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50" customWidth="1" min="3" max="3"/>
  </cols>
  <sheetData>
    <row r="1">
      <c r="A1" s="8" t="inlineStr">
        <is>
          <t>Industry</t>
        </is>
      </c>
      <c r="B1" s="8" t="inlineStr">
        <is>
          <t>Hrs reclaimed / employee / week</t>
        </is>
      </c>
      <c r="C1" s="8" t="inlineStr">
        <is>
          <t>Source / notes</t>
        </is>
      </c>
    </row>
    <row r="2">
      <c r="A2" s="9" t="inlineStr">
        <is>
          <t>Legal</t>
        </is>
      </c>
      <c r="B2" s="10" t="n">
        <v>8.5</v>
      </c>
      <c r="C2" s="9" t="inlineStr">
        <is>
          <t>Contract review + matter management automation</t>
        </is>
      </c>
    </row>
    <row r="3">
      <c r="A3" s="9" t="inlineStr">
        <is>
          <t>Real Estate</t>
        </is>
      </c>
      <c r="B3" s="10" t="n">
        <v>6.2</v>
      </c>
      <c r="C3" s="9" t="inlineStr">
        <is>
          <t>Lead response + listing comms</t>
        </is>
      </c>
    </row>
    <row r="4">
      <c r="A4" s="9" t="inlineStr">
        <is>
          <t>Manufacturing</t>
        </is>
      </c>
      <c r="B4" s="10" t="n">
        <v>7.8</v>
      </c>
      <c r="C4" s="9" t="inlineStr">
        <is>
          <t>Vision QC + ops reporting</t>
        </is>
      </c>
    </row>
    <row r="5">
      <c r="A5" s="9" t="inlineStr">
        <is>
          <t>E-commerce</t>
        </is>
      </c>
      <c r="B5" s="10" t="n">
        <v>5.4</v>
      </c>
      <c r="C5" s="9" t="inlineStr">
        <is>
          <t>Customer support + cart automation</t>
        </is>
      </c>
    </row>
    <row r="6">
      <c r="A6" s="9" t="inlineStr">
        <is>
          <t>Financial Services</t>
        </is>
      </c>
      <c r="B6" s="10" t="n">
        <v>9.1</v>
      </c>
      <c r="C6" s="9" t="inlineStr">
        <is>
          <t>Document processing at 99%+ accuracy</t>
        </is>
      </c>
    </row>
    <row r="7">
      <c r="A7" s="9" t="inlineStr">
        <is>
          <t>Healthcare</t>
        </is>
      </c>
      <c r="B7" s="10" t="n">
        <v>4.8</v>
      </c>
      <c r="C7" s="9" t="inlineStr">
        <is>
          <t>Patient intake + records</t>
        </is>
      </c>
    </row>
    <row r="8">
      <c r="A8" s="9" t="inlineStr">
        <is>
          <t>SaaS</t>
        </is>
      </c>
      <c r="B8" s="10" t="n">
        <v>5.9</v>
      </c>
      <c r="C8" s="9" t="inlineStr">
        <is>
          <t>Lead scoring + churn prediction</t>
        </is>
      </c>
    </row>
    <row r="9">
      <c r="A9" s="9" t="inlineStr">
        <is>
          <t>Professional Services</t>
        </is>
      </c>
      <c r="B9" s="10" t="n">
        <v>7</v>
      </c>
      <c r="C9" s="9" t="inlineStr">
        <is>
          <t>Workflow + comms + scheduling</t>
        </is>
      </c>
    </row>
    <row r="10">
      <c r="A10" s="9" t="inlineStr">
        <is>
          <t>Other</t>
        </is>
      </c>
      <c r="B10" s="10" t="n">
        <v>5.5</v>
      </c>
      <c r="C10" s="9" t="inlineStr">
        <is>
          <t>Median of all sectors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6" customWidth="1" min="1" max="1"/>
    <col width="22" customWidth="1" min="2" max="2"/>
  </cols>
  <sheetData>
    <row r="1">
      <c r="A1" s="1" t="inlineStr">
        <is>
          <t>Aiprosol ROI Calculator — Output</t>
        </is>
      </c>
    </row>
    <row r="2">
      <c r="A2" s="2" t="inlineStr">
        <is>
          <t>Recalculates from your inputs on the Inputs sheet.</t>
        </is>
      </c>
    </row>
    <row r="4">
      <c r="A4" s="3" t="inlineStr">
        <is>
          <t>Current annual manual cost</t>
        </is>
      </c>
      <c r="B4" s="11">
        <f>manual_hrs * employees * hourly_cost * 50</f>
        <v/>
      </c>
    </row>
    <row r="5">
      <c r="A5" s="3" t="inlineStr">
        <is>
          <t>Industry benchmark — hrs reclaimed / employee / week</t>
        </is>
      </c>
      <c r="B5" s="12">
        <f>VLOOKUP(industry, benchmark_table, 2, FALSE)</f>
        <v/>
      </c>
    </row>
    <row r="6">
      <c r="A6" s="3" t="inlineStr">
        <is>
          <t>Hrs reclaimed / employee / week (capped at your manual hrs)</t>
        </is>
      </c>
      <c r="B6" s="13">
        <f>MIN(manual_hrs, B5)</f>
        <v/>
      </c>
    </row>
    <row r="7">
      <c r="A7" s="3" t="inlineStr">
        <is>
          <t>Total weekly hrs reclaimed across team</t>
        </is>
      </c>
      <c r="B7" s="14">
        <f>B6 * employees</f>
        <v/>
      </c>
    </row>
    <row r="8">
      <c r="A8" s="3" t="inlineStr">
        <is>
          <t>Annual savings</t>
        </is>
      </c>
      <c r="B8" s="15">
        <f>B6 * employees * hourly_cost * 50</f>
        <v/>
      </c>
    </row>
    <row r="9">
      <c r="A9" s="3" t="inlineStr">
        <is>
          <t>Annual Aiprosol plan cost</t>
        </is>
      </c>
      <c r="B9" s="16">
        <f>annual_plan</f>
        <v/>
      </c>
    </row>
    <row r="10">
      <c r="A10" s="17" t="inlineStr">
        <is>
          <t>Net annual benefit</t>
        </is>
      </c>
      <c r="B10" s="18">
        <f>B8 - B9</f>
        <v/>
      </c>
    </row>
    <row r="11">
      <c r="A11" s="3" t="inlineStr">
        <is>
          <t>ROI</t>
        </is>
      </c>
      <c r="B11" s="19">
        <f>IF(B9&gt;0, (B10/B9)*100, "—")</f>
        <v/>
      </c>
    </row>
    <row r="12">
      <c r="A12" s="3" t="inlineStr">
        <is>
          <t>Payback period (months)</t>
        </is>
      </c>
      <c r="B12" s="20">
        <f>IF(B8&gt;0, B9*12/B8, "—")</f>
        <v/>
      </c>
    </row>
  </sheetData>
  <mergeCells count="1">
    <mergeCell ref="A1:C1"/>
  </mergeCells>
  <conditionalFormatting sqref="B10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— net annual benefit</t>
        </is>
      </c>
    </row>
    <row r="2">
      <c r="A2" s="2" t="inlineStr">
        <is>
          <t>How net benefit changes if hourly cost or team size differs from your input.</t>
        </is>
      </c>
    </row>
    <row r="4" ht="32" customHeight="1">
      <c r="A4" s="21" t="inlineStr">
        <is>
          <t>Hourly cost ↓ / Team size →</t>
        </is>
      </c>
      <c r="B4" s="22">
        <f>ROUND(employees*(1+-0.5), 0)</f>
        <v/>
      </c>
      <c r="C4" s="22">
        <f>ROUND(employees*(1+-0.25), 0)</f>
        <v/>
      </c>
      <c r="D4" s="22">
        <f>ROUND(employees*(1+0), 0)</f>
        <v/>
      </c>
      <c r="E4" s="22">
        <f>ROUND(employees*(1+0.25), 0)</f>
        <v/>
      </c>
      <c r="F4" s="22">
        <f>ROUND(employees*(1+0.5), 0)</f>
        <v/>
      </c>
    </row>
    <row r="5">
      <c r="A5" s="23">
        <f>ROUND(hourly_cost*(1+-0.2), 0)</f>
        <v/>
      </c>
      <c r="B5" s="24">
        <f>Output!$B$6 * employees*(1+-0.5) * hourly_cost*(1+-0.2) * 50 - annual_plan</f>
        <v/>
      </c>
      <c r="C5" s="24">
        <f>Output!$B$6 * employees*(1+-0.25) * hourly_cost*(1+-0.2) * 50 - annual_plan</f>
        <v/>
      </c>
      <c r="D5" s="24">
        <f>Output!$B$6 * employees*(1+0) * hourly_cost*(1+-0.2) * 50 - annual_plan</f>
        <v/>
      </c>
      <c r="E5" s="24">
        <f>Output!$B$6 * employees*(1+0.25) * hourly_cost*(1+-0.2) * 50 - annual_plan</f>
        <v/>
      </c>
      <c r="F5" s="24">
        <f>Output!$B$6 * employees*(1+0.5) * hourly_cost*(1+-0.2) * 50 - annual_plan</f>
        <v/>
      </c>
    </row>
    <row r="6">
      <c r="A6" s="23">
        <f>ROUND(hourly_cost*(1+-0.1), 0)</f>
        <v/>
      </c>
      <c r="B6" s="24">
        <f>Output!$B$6 * employees*(1+-0.5) * hourly_cost*(1+-0.1) * 50 - annual_plan</f>
        <v/>
      </c>
      <c r="C6" s="24">
        <f>Output!$B$6 * employees*(1+-0.25) * hourly_cost*(1+-0.1) * 50 - annual_plan</f>
        <v/>
      </c>
      <c r="D6" s="24">
        <f>Output!$B$6 * employees*(1+0) * hourly_cost*(1+-0.1) * 50 - annual_plan</f>
        <v/>
      </c>
      <c r="E6" s="24">
        <f>Output!$B$6 * employees*(1+0.25) * hourly_cost*(1+-0.1) * 50 - annual_plan</f>
        <v/>
      </c>
      <c r="F6" s="24">
        <f>Output!$B$6 * employees*(1+0.5) * hourly_cost*(1+-0.1) * 50 - annual_plan</f>
        <v/>
      </c>
    </row>
    <row r="7">
      <c r="A7" s="23">
        <f>ROUND(hourly_cost*(1+0), 0)</f>
        <v/>
      </c>
      <c r="B7" s="24">
        <f>Output!$B$6 * employees*(1+-0.5) * hourly_cost*(1+0) * 50 - annual_plan</f>
        <v/>
      </c>
      <c r="C7" s="24">
        <f>Output!$B$6 * employees*(1+-0.25) * hourly_cost*(1+0) * 50 - annual_plan</f>
        <v/>
      </c>
      <c r="D7" s="24">
        <f>Output!$B$6 * employees*(1+0) * hourly_cost*(1+0) * 50 - annual_plan</f>
        <v/>
      </c>
      <c r="E7" s="24">
        <f>Output!$B$6 * employees*(1+0.25) * hourly_cost*(1+0) * 50 - annual_plan</f>
        <v/>
      </c>
      <c r="F7" s="24">
        <f>Output!$B$6 * employees*(1+0.5) * hourly_cost*(1+0) * 50 - annual_plan</f>
        <v/>
      </c>
    </row>
    <row r="8">
      <c r="A8" s="23">
        <f>ROUND(hourly_cost*(1+0.1), 0)</f>
        <v/>
      </c>
      <c r="B8" s="24">
        <f>Output!$B$6 * employees*(1+-0.5) * hourly_cost*(1+0.1) * 50 - annual_plan</f>
        <v/>
      </c>
      <c r="C8" s="24">
        <f>Output!$B$6 * employees*(1+-0.25) * hourly_cost*(1+0.1) * 50 - annual_plan</f>
        <v/>
      </c>
      <c r="D8" s="24">
        <f>Output!$B$6 * employees*(1+0) * hourly_cost*(1+0.1) * 50 - annual_plan</f>
        <v/>
      </c>
      <c r="E8" s="24">
        <f>Output!$B$6 * employees*(1+0.25) * hourly_cost*(1+0.1) * 50 - annual_plan</f>
        <v/>
      </c>
      <c r="F8" s="24">
        <f>Output!$B$6 * employees*(1+0.5) * hourly_cost*(1+0.1) * 50 - annual_plan</f>
        <v/>
      </c>
    </row>
    <row r="9">
      <c r="A9" s="23">
        <f>ROUND(hourly_cost*(1+0.2), 0)</f>
        <v/>
      </c>
      <c r="B9" s="24">
        <f>Output!$B$6 * employees*(1+-0.5) * hourly_cost*(1+0.2) * 50 - annual_plan</f>
        <v/>
      </c>
      <c r="C9" s="24">
        <f>Output!$B$6 * employees*(1+-0.25) * hourly_cost*(1+0.2) * 50 - annual_plan</f>
        <v/>
      </c>
      <c r="D9" s="24">
        <f>Output!$B$6 * employees*(1+0) * hourly_cost*(1+0.2) * 50 - annual_plan</f>
        <v/>
      </c>
      <c r="E9" s="24">
        <f>Output!$B$6 * employees*(1+0.25) * hourly_cost*(1+0.2) * 50 - annual_plan</f>
        <v/>
      </c>
      <c r="F9" s="24">
        <f>Output!$B$6 * employees*(1+0.5) * hourly_cost*(1+0.2) * 50 - annual_plan</f>
        <v/>
      </c>
    </row>
    <row r="11" ht="28" customHeight="1">
      <c r="A11" s="2" t="inlineStr">
        <is>
          <t>Reading this: rows are different hourly costs; columns are different team sizes. Each cell shows the net annual benefit in that scenario.</t>
        </is>
      </c>
    </row>
  </sheetData>
  <mergeCells count="3">
    <mergeCell ref="A11:G11"/>
    <mergeCell ref="A2:G2"/>
    <mergeCell ref="A1:G1"/>
  </mergeCells>
  <conditionalFormatting sqref="B5:F9">
    <cfRule type="cellIs" priority="1" operator="greaterThan" dxfId="2">
      <formula>0</formula>
    </cfRule>
    <cfRule type="cellIs" priority="2" operator="lessThan" dxfId="3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Scenario comparison — current vs Aiprosol plans</t>
        </is>
      </c>
    </row>
    <row r="2">
      <c r="A2" s="2" t="inlineStr">
        <is>
          <t>Three scenarios side by side. Numbers driven by your Inputs sheet.</t>
        </is>
      </c>
    </row>
    <row r="4" ht="36" customHeight="1">
      <c r="A4" s="21" t="inlineStr">
        <is>
          <t>Metric</t>
        </is>
      </c>
      <c r="B4" s="21" t="inlineStr">
        <is>
          <t>Current state</t>
        </is>
      </c>
      <c r="C4" s="21" t="inlineStr">
        <is>
          <t>With Aiprosol Starter (£997/mo)</t>
        </is>
      </c>
      <c r="D4" s="21" t="inlineStr">
        <is>
          <t>With Aiprosol Growth (£2,997/mo)</t>
        </is>
      </c>
    </row>
    <row r="5">
      <c r="A5" s="3" t="inlineStr">
        <is>
          <t>Hrs reclaimed / employee / week</t>
        </is>
      </c>
      <c r="B5" s="25">
        <f>0</f>
        <v/>
      </c>
      <c r="C5" s="26">
        <f>Output!$B$6</f>
        <v/>
      </c>
      <c r="D5" s="26">
        <f>MIN(manual_hrs, Output!$B$6 * 1.5)</f>
        <v/>
      </c>
    </row>
    <row r="6">
      <c r="A6" s="3" t="inlineStr">
        <is>
          <t>Total team hrs reclaimed / week</t>
        </is>
      </c>
      <c r="B6" s="25">
        <f>0</f>
        <v/>
      </c>
      <c r="C6" s="26">
        <f>Output!$B$7</f>
        <v/>
      </c>
      <c r="D6" s="26">
        <f>MIN(manual_hrs, Output!$B$6 * 1.5) * employees</f>
        <v/>
      </c>
    </row>
    <row r="7">
      <c r="A7" s="3" t="inlineStr">
        <is>
          <t>Annual savings</t>
        </is>
      </c>
      <c r="B7" s="24">
        <f>0</f>
        <v/>
      </c>
      <c r="C7" s="27">
        <f>Output!$B$8</f>
        <v/>
      </c>
      <c r="D7" s="27">
        <f>MIN(manual_hrs, Output!$B$6 * 1.5) * employees * hourly_cost * 50</f>
        <v/>
      </c>
    </row>
    <row r="8">
      <c r="A8" s="3" t="inlineStr">
        <is>
          <t>Annual plan cost</t>
        </is>
      </c>
      <c r="B8" s="24">
        <f>0</f>
        <v/>
      </c>
      <c r="C8" s="27">
        <f>11964</f>
        <v/>
      </c>
      <c r="D8" s="27">
        <f>35964</f>
        <v/>
      </c>
    </row>
    <row r="9">
      <c r="A9" s="3" t="inlineStr">
        <is>
          <t>Net annual position</t>
        </is>
      </c>
      <c r="B9" s="28">
        <f>-(manual_hrs * employees * hourly_cost * 50)</f>
        <v/>
      </c>
      <c r="C9" s="28">
        <f>Output!$B$8 - 11964</f>
        <v/>
      </c>
      <c r="D9" s="28">
        <f>(MIN(manual_hrs, Output!$B$6 * 1.5) * employees * hourly_cost * 50) - 35964</f>
        <v/>
      </c>
    </row>
    <row r="10">
      <c r="A10" s="3" t="inlineStr">
        <is>
          <t>ROI</t>
        </is>
      </c>
      <c r="B10" s="29">
        <f>0</f>
        <v/>
      </c>
      <c r="C10" s="30">
        <f>IF(11964&gt;0, (Output!$B$8-11964)/11964*100, 0)</f>
        <v/>
      </c>
      <c r="D10" s="30">
        <f>IF(35964&gt;0, ((MIN(manual_hrs, Output!$B$6 * 1.5) * employees * hourly_cost * 50)-35964)/35964*100, 0)</f>
        <v/>
      </c>
    </row>
    <row r="11">
      <c r="A11" s="3" t="inlineStr">
        <is>
          <t>Payback (months)</t>
        </is>
      </c>
      <c r="B11" s="25">
        <f>0</f>
        <v/>
      </c>
      <c r="C11" s="26">
        <f>IF(Output!$B$8&gt;0, 11964*12/Output!$B$8, 0)</f>
        <v/>
      </c>
      <c r="D11" s="26">
        <f>IF((MIN(manual_hrs, Output!$B$6 * 1.5) * employees * hourly_cost * 50)&gt;0, 35964*12/(MIN(manual_hrs, Output!$B$6 * 1.5) * employees * hourly_cost * 50), 0)</f>
        <v/>
      </c>
    </row>
    <row r="13" ht="28" customHeight="1">
      <c r="A13" s="2" t="inlineStr">
        <is>
          <t>Note: Growth-tier savings model assumes 1.5x hrs reclaimed vs Starter, capped at your stated manual hours. Adjust formula if context differs.</t>
        </is>
      </c>
    </row>
  </sheetData>
  <mergeCells count="3">
    <mergeCell ref="A1:D1"/>
    <mergeCell ref="A13:D1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2026-05-09T12:59:33Z</dcterms:created>
  <dcterms:modified xsi:type="dcterms:W3CDTF">2026-05-09T12:59:33Z</dcterms:modified>
</cp:coreProperties>
</file>