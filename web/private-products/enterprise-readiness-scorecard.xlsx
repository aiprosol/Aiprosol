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ess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8B5CF6"/>
      <sz val="18"/>
    </font>
    <font>
      <name val="Calibri"/>
      <i val="1"/>
      <color rgb="00666666"/>
      <sz val="10"/>
    </font>
    <font>
      <name val="Calibri"/>
      <b val="1"/>
      <color rgb="00FFFFFF"/>
      <sz val="11"/>
    </font>
    <font>
      <b val="1"/>
      <color rgb="008B5CF6"/>
    </font>
    <font>
      <color rgb="00000000"/>
    </font>
    <font>
      <b val="1"/>
      <color rgb="008B5CF6"/>
      <sz val="14"/>
    </font>
    <font>
      <b val="1"/>
      <color rgb="00FFFFFF"/>
    </font>
    <font>
      <b val="1"/>
    </font>
    <font>
      <b val="1"/>
      <sz val="14"/>
    </font>
    <font>
      <b val="1"/>
      <color rgb="008B5CF6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8B5CF6"/>
      </patternFill>
    </fill>
    <fill>
      <patternFill patternType="solid">
        <fgColor rgb="00F4F1FA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0" borderId="0" pivotButton="0" quotePrefix="0" xfId="0"/>
    <xf numFmtId="0" fontId="7" fillId="2" borderId="1" pivotButton="0" quotePrefix="0" xfId="0"/>
    <xf numFmtId="0" fontId="8" fillId="0" borderId="1" pivotButton="0" quotePrefix="0" xfId="0"/>
    <xf numFmtId="0" fontId="0" fillId="0" borderId="1" pivotButton="0" quotePrefix="0" xfId="0"/>
    <xf numFmtId="9" fontId="0" fillId="0" borderId="1" pivotButton="0" quotePrefix="0" xfId="0"/>
    <xf numFmtId="0" fontId="9" fillId="0" borderId="0" pivotButton="0" quotePrefix="0" xfId="0"/>
    <xf numFmtId="9" fontId="9" fillId="0" borderId="0" pivotButton="0" quotePrefix="0" xfId="0"/>
    <xf numFmtId="0" fontId="10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Readiness by Dimension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'Readiness Scorecard'!B128</f>
            </strRef>
          </tx>
          <spPr>
            <a:ln xmlns:a="http://schemas.openxmlformats.org/drawingml/2006/main">
              <a:prstDash val="solid"/>
            </a:ln>
          </spPr>
          <cat>
            <numRef>
              <f>'Readiness Scorecard'!$A$129:$A$140</f>
            </numRef>
          </cat>
          <val>
            <numRef>
              <f>'Readiness Scorecard'!$B$129:$B$140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(0–100)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Dimension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cols>
    <col width="22" customWidth="1" min="1" max="1"/>
    <col width="5" customWidth="1" min="2" max="2"/>
    <col width="70" customWidth="1" min="3" max="3"/>
    <col width="12" customWidth="1" min="4" max="4"/>
    <col width="40" customWidth="1" min="5" max="5"/>
  </cols>
  <sheetData>
    <row r="1" ht="32" customHeight="1">
      <c r="A1" s="1" t="inlineStr">
        <is>
          <t>Aiprosol · Enterprise AI Readiness Scorecard</t>
        </is>
      </c>
    </row>
    <row r="2">
      <c r="A2" s="2" t="inlineStr">
        <is>
          <t>Score each question 0–10 (0 = not at all, 5 = partial, 10 = fully). Each dimension max = 100.</t>
        </is>
      </c>
    </row>
    <row r="4">
      <c r="A4" s="3" t="inlineStr">
        <is>
          <t>Dimension</t>
        </is>
      </c>
      <c r="B4" s="3" t="inlineStr">
        <is>
          <t>#</t>
        </is>
      </c>
      <c r="C4" s="3" t="inlineStr">
        <is>
          <t>Question</t>
        </is>
      </c>
      <c r="D4" s="3" t="inlineStr">
        <is>
          <t>Score 0–10</t>
        </is>
      </c>
      <c r="E4" s="3" t="inlineStr">
        <is>
          <t>Notes</t>
        </is>
      </c>
    </row>
    <row r="5" ht="22" customHeight="1">
      <c r="A5" s="4" t="inlineStr">
        <is>
          <t>Data foundation</t>
        </is>
      </c>
      <c r="B5" s="5" t="n">
        <v>1</v>
      </c>
      <c r="C5" s="6" t="inlineStr">
        <is>
          <t>Do we have a unified customer record across all systems?</t>
        </is>
      </c>
      <c r="D5" s="5" t="n"/>
      <c r="E5" s="5" t="inlineStr"/>
    </row>
    <row r="6" ht="22" customHeight="1">
      <c r="A6" s="7" t="inlineStr"/>
      <c r="B6" s="8" t="n">
        <v>2</v>
      </c>
      <c r="C6" s="9" t="inlineStr">
        <is>
          <t>Are the top-3 datasets queryable by non-engineers?</t>
        </is>
      </c>
      <c r="D6" s="8" t="n"/>
      <c r="E6" s="8" t="inlineStr"/>
    </row>
    <row r="7" ht="22" customHeight="1">
      <c r="A7" s="10" t="inlineStr"/>
      <c r="B7" s="5" t="n">
        <v>3</v>
      </c>
      <c r="C7" s="6" t="inlineStr">
        <is>
          <t>Is data lineage documented for revenue, customer, product data?</t>
        </is>
      </c>
      <c r="D7" s="5" t="n"/>
      <c r="E7" s="5" t="inlineStr"/>
    </row>
    <row r="8" ht="22" customHeight="1">
      <c r="A8" s="7" t="inlineStr"/>
      <c r="B8" s="8" t="n">
        <v>4</v>
      </c>
      <c r="C8" s="9" t="inlineStr">
        <is>
          <t>Do we have a primary source-of-truth for customer identity?</t>
        </is>
      </c>
      <c r="D8" s="8" t="n"/>
      <c r="E8" s="8" t="inlineStr"/>
    </row>
    <row r="9" ht="22" customHeight="1">
      <c r="A9" s="10" t="inlineStr"/>
      <c r="B9" s="5" t="n">
        <v>5</v>
      </c>
      <c r="C9" s="6" t="inlineStr">
        <is>
          <t>Are data refresh latencies known and acceptable (&lt;24h for ops)?</t>
        </is>
      </c>
      <c r="D9" s="5" t="n"/>
      <c r="E9" s="5" t="inlineStr"/>
    </row>
    <row r="10" ht="22" customHeight="1">
      <c r="A10" s="7" t="inlineStr"/>
      <c r="B10" s="8" t="n">
        <v>6</v>
      </c>
      <c r="C10" s="9" t="inlineStr">
        <is>
          <t>Do we have data quality checks running on critical pipelines?</t>
        </is>
      </c>
      <c r="D10" s="8" t="n"/>
      <c r="E10" s="8" t="inlineStr"/>
    </row>
    <row r="11" ht="22" customHeight="1">
      <c r="A11" s="10" t="inlineStr"/>
      <c r="B11" s="5" t="n">
        <v>7</v>
      </c>
      <c r="C11" s="6" t="inlineStr">
        <is>
          <t>Is there a documented retention policy for customer data?</t>
        </is>
      </c>
      <c r="D11" s="5" t="n"/>
      <c r="E11" s="5" t="inlineStr"/>
    </row>
    <row r="12" ht="22" customHeight="1">
      <c r="A12" s="7" t="inlineStr"/>
      <c r="B12" s="8" t="n">
        <v>8</v>
      </c>
      <c r="C12" s="9" t="inlineStr">
        <is>
          <t>Are PII fields tagged and access-controlled?</t>
        </is>
      </c>
      <c r="D12" s="8" t="n"/>
      <c r="E12" s="8" t="inlineStr"/>
    </row>
    <row r="13" ht="22" customHeight="1">
      <c r="A13" s="10" t="inlineStr"/>
      <c r="B13" s="5" t="n">
        <v>9</v>
      </c>
      <c r="C13" s="6" t="inlineStr">
        <is>
          <t>Do we have a data dictionary covering top-20 tables?</t>
        </is>
      </c>
      <c r="D13" s="5" t="n"/>
      <c r="E13" s="5" t="inlineStr"/>
    </row>
    <row r="14" ht="22" customHeight="1">
      <c r="A14" s="7" t="inlineStr"/>
      <c r="B14" s="8" t="n">
        <v>10</v>
      </c>
      <c r="C14" s="9" t="inlineStr">
        <is>
          <t>Are data exports auditable (who pulled what, when)?</t>
        </is>
      </c>
      <c r="D14" s="8" t="n"/>
      <c r="E14" s="8" t="inlineStr"/>
    </row>
    <row r="15" ht="22" customHeight="1">
      <c r="A15" s="4" t="inlineStr">
        <is>
          <t>Identity + access</t>
        </is>
      </c>
      <c r="B15" s="5" t="n">
        <v>1</v>
      </c>
      <c r="C15" s="6" t="inlineStr">
        <is>
          <t>Do we have SSO across all production systems?</t>
        </is>
      </c>
      <c r="D15" s="5" t="n"/>
      <c r="E15" s="5" t="inlineStr"/>
    </row>
    <row r="16" ht="22" customHeight="1">
      <c r="A16" s="7" t="inlineStr"/>
      <c r="B16" s="8" t="n">
        <v>2</v>
      </c>
      <c r="C16" s="9" t="inlineStr">
        <is>
          <t>Are role-based access controls audited quarterly?</t>
        </is>
      </c>
      <c r="D16" s="8" t="n"/>
      <c r="E16" s="8" t="inlineStr"/>
    </row>
    <row r="17" ht="22" customHeight="1">
      <c r="A17" s="10" t="inlineStr"/>
      <c r="B17" s="5" t="n">
        <v>3</v>
      </c>
      <c r="C17" s="6" t="inlineStr">
        <is>
          <t>Do we have a documented offboarding checklist that completes in &lt;24h?</t>
        </is>
      </c>
      <c r="D17" s="5" t="n"/>
      <c r="E17" s="5" t="inlineStr"/>
    </row>
    <row r="18" ht="22" customHeight="1">
      <c r="A18" s="7" t="inlineStr"/>
      <c r="B18" s="8" t="n">
        <v>4</v>
      </c>
      <c r="C18" s="9" t="inlineStr">
        <is>
          <t>Is MFA enforced for all admin-level access?</t>
        </is>
      </c>
      <c r="D18" s="8" t="n"/>
      <c r="E18" s="8" t="inlineStr"/>
    </row>
    <row r="19" ht="22" customHeight="1">
      <c r="A19" s="10" t="inlineStr"/>
      <c r="B19" s="5" t="n">
        <v>5</v>
      </c>
      <c r="C19" s="6" t="inlineStr">
        <is>
          <t>Do we use a password manager organisation-wide?</t>
        </is>
      </c>
      <c r="D19" s="5" t="n"/>
      <c r="E19" s="5" t="inlineStr"/>
    </row>
    <row r="20" ht="22" customHeight="1">
      <c r="A20" s="7" t="inlineStr"/>
      <c r="B20" s="8" t="n">
        <v>6</v>
      </c>
      <c r="C20" s="9" t="inlineStr">
        <is>
          <t>Are service accounts inventoried with named owners?</t>
        </is>
      </c>
      <c r="D20" s="8" t="n"/>
      <c r="E20" s="8" t="inlineStr"/>
    </row>
    <row r="21" ht="22" customHeight="1">
      <c r="A21" s="10" t="inlineStr"/>
      <c r="B21" s="5" t="n">
        <v>7</v>
      </c>
      <c r="C21" s="6" t="inlineStr">
        <is>
          <t>Do we rotate API keys on a documented schedule?</t>
        </is>
      </c>
      <c r="D21" s="5" t="n"/>
      <c r="E21" s="5" t="inlineStr"/>
    </row>
    <row r="22" ht="22" customHeight="1">
      <c r="A22" s="7" t="inlineStr"/>
      <c r="B22" s="8" t="n">
        <v>8</v>
      </c>
      <c r="C22" s="9" t="inlineStr">
        <is>
          <t>Is there a process for emergency access revocation?</t>
        </is>
      </c>
      <c r="D22" s="8" t="n"/>
      <c r="E22" s="8" t="inlineStr"/>
    </row>
    <row r="23" ht="22" customHeight="1">
      <c r="A23" s="10" t="inlineStr"/>
      <c r="B23" s="5" t="n">
        <v>9</v>
      </c>
      <c r="C23" s="6" t="inlineStr">
        <is>
          <t>Are guest/contractor accounts time-bound by default?</t>
        </is>
      </c>
      <c r="D23" s="5" t="n"/>
      <c r="E23" s="5" t="inlineStr"/>
    </row>
    <row r="24" ht="22" customHeight="1">
      <c r="A24" s="7" t="inlineStr"/>
      <c r="B24" s="8" t="n">
        <v>10</v>
      </c>
      <c r="C24" s="9" t="inlineStr">
        <is>
          <t>Do we audit account access logs at least monthly?</t>
        </is>
      </c>
      <c r="D24" s="8" t="n"/>
      <c r="E24" s="8" t="inlineStr"/>
    </row>
    <row r="25" ht="22" customHeight="1">
      <c r="A25" s="4" t="inlineStr">
        <is>
          <t>Tool architecture</t>
        </is>
      </c>
      <c r="B25" s="5" t="n">
        <v>1</v>
      </c>
      <c r="C25" s="6" t="inlineStr">
        <is>
          <t>Do we know exactly how many SaaS tools we operate?</t>
        </is>
      </c>
      <c r="D25" s="5" t="n"/>
      <c r="E25" s="5" t="inlineStr"/>
    </row>
    <row r="26" ht="22" customHeight="1">
      <c r="A26" s="7" t="inlineStr"/>
      <c r="B26" s="8" t="n">
        <v>2</v>
      </c>
      <c r="C26" s="9" t="inlineStr">
        <is>
          <t>Are integrations hub-and-spoke vs point-to-point?</t>
        </is>
      </c>
      <c r="D26" s="8" t="n"/>
      <c r="E26" s="8" t="inlineStr"/>
    </row>
    <row r="27" ht="22" customHeight="1">
      <c r="A27" s="10" t="inlineStr"/>
      <c r="B27" s="5" t="n">
        <v>3</v>
      </c>
      <c r="C27" s="6" t="inlineStr">
        <is>
          <t>Is there a workflow orchestrator already in place (n8n / Zapier / Make)?</t>
        </is>
      </c>
      <c r="D27" s="5" t="n"/>
      <c r="E27" s="5" t="inlineStr"/>
    </row>
    <row r="28" ht="22" customHeight="1">
      <c r="A28" s="7" t="inlineStr"/>
      <c r="B28" s="8" t="n">
        <v>4</v>
      </c>
      <c r="C28" s="9" t="inlineStr">
        <is>
          <t>Have we identified our top-5 tool overlaps (redundancy)?</t>
        </is>
      </c>
      <c r="D28" s="8" t="n"/>
      <c r="E28" s="8" t="inlineStr"/>
    </row>
    <row r="29" ht="22" customHeight="1">
      <c r="A29" s="10" t="inlineStr"/>
      <c r="B29" s="5" t="n">
        <v>5</v>
      </c>
      <c r="C29" s="6" t="inlineStr">
        <is>
          <t>Do we have a SaaS spend budget owner?</t>
        </is>
      </c>
      <c r="D29" s="5" t="n"/>
      <c r="E29" s="5" t="inlineStr"/>
    </row>
    <row r="30" ht="22" customHeight="1">
      <c r="A30" s="7" t="inlineStr"/>
      <c r="B30" s="8" t="n">
        <v>6</v>
      </c>
      <c r="C30" s="9" t="inlineStr">
        <is>
          <t>Are tool renewals tracked centrally?</t>
        </is>
      </c>
      <c r="D30" s="8" t="n"/>
      <c r="E30" s="8" t="inlineStr"/>
    </row>
    <row r="31" ht="22" customHeight="1">
      <c r="A31" s="10" t="inlineStr"/>
      <c r="B31" s="5" t="n">
        <v>7</v>
      </c>
      <c r="C31" s="6" t="inlineStr">
        <is>
          <t>Is there a process for proposing new tools?</t>
        </is>
      </c>
      <c r="D31" s="5" t="n"/>
      <c r="E31" s="5" t="inlineStr"/>
    </row>
    <row r="32" ht="22" customHeight="1">
      <c r="A32" s="7" t="inlineStr"/>
      <c r="B32" s="8" t="n">
        <v>8</v>
      </c>
      <c r="C32" s="9" t="inlineStr">
        <is>
          <t>Do we sunset unused tools quarterly?</t>
        </is>
      </c>
      <c r="D32" s="8" t="n"/>
      <c r="E32" s="8" t="inlineStr"/>
    </row>
    <row r="33" ht="22" customHeight="1">
      <c r="A33" s="10" t="inlineStr"/>
      <c r="B33" s="5" t="n">
        <v>9</v>
      </c>
      <c r="C33" s="6" t="inlineStr">
        <is>
          <t>Are vendor SOC2 reports collected and reviewed?</t>
        </is>
      </c>
      <c r="D33" s="5" t="n"/>
      <c r="E33" s="5" t="inlineStr"/>
    </row>
    <row r="34" ht="22" customHeight="1">
      <c r="A34" s="7" t="inlineStr"/>
      <c r="B34" s="8" t="n">
        <v>10</v>
      </c>
      <c r="C34" s="9" t="inlineStr">
        <is>
          <t>Do we have a documented integration architecture diagram?</t>
        </is>
      </c>
      <c r="D34" s="8" t="n"/>
      <c r="E34" s="8" t="inlineStr"/>
    </row>
    <row r="35" ht="22" customHeight="1">
      <c r="A35" s="4" t="inlineStr">
        <is>
          <t>AI literacy</t>
        </is>
      </c>
      <c r="B35" s="5" t="n">
        <v>1</v>
      </c>
      <c r="C35" s="6" t="inlineStr">
        <is>
          <t>What % of staff have used a frontier LLM in the last 30 days? (≥50% = score full)</t>
        </is>
      </c>
      <c r="D35" s="5" t="n"/>
      <c r="E35" s="5" t="inlineStr"/>
    </row>
    <row r="36" ht="22" customHeight="1">
      <c r="A36" s="7" t="inlineStr"/>
      <c r="B36" s="8" t="n">
        <v>2</v>
      </c>
      <c r="C36" s="9" t="inlineStr">
        <is>
          <t>Do we have an internal Slack channel for AI use cases?</t>
        </is>
      </c>
      <c r="D36" s="8" t="n"/>
      <c r="E36" s="8" t="inlineStr"/>
    </row>
    <row r="37" ht="22" customHeight="1">
      <c r="A37" s="10" t="inlineStr"/>
      <c r="B37" s="5" t="n">
        <v>3</v>
      </c>
      <c r="C37" s="6" t="inlineStr">
        <is>
          <t>Is there a designated AI owner / champion?</t>
        </is>
      </c>
      <c r="D37" s="5" t="n"/>
      <c r="E37" s="5" t="inlineStr"/>
    </row>
    <row r="38" ht="22" customHeight="1">
      <c r="A38" s="7" t="inlineStr"/>
      <c r="B38" s="8" t="n">
        <v>4</v>
      </c>
      <c r="C38" s="9" t="inlineStr">
        <is>
          <t>Have we run an AI training session in the last 6 months?</t>
        </is>
      </c>
      <c r="D38" s="8" t="n"/>
      <c r="E38" s="8" t="inlineStr"/>
    </row>
    <row r="39" ht="22" customHeight="1">
      <c r="A39" s="10" t="inlineStr"/>
      <c r="B39" s="5" t="n">
        <v>5</v>
      </c>
      <c r="C39" s="6" t="inlineStr">
        <is>
          <t>Do we maintain an internal prompt library?</t>
        </is>
      </c>
      <c r="D39" s="5" t="n"/>
      <c r="E39" s="5" t="inlineStr"/>
    </row>
    <row r="40" ht="22" customHeight="1">
      <c r="A40" s="7" t="inlineStr"/>
      <c r="B40" s="8" t="n">
        <v>6</v>
      </c>
      <c r="C40" s="9" t="inlineStr">
        <is>
          <t>Can leadership demonstrate hands-on AI tool use?</t>
        </is>
      </c>
      <c r="D40" s="8" t="n"/>
      <c r="E40" s="8" t="inlineStr"/>
    </row>
    <row r="41" ht="22" customHeight="1">
      <c r="A41" s="10" t="inlineStr"/>
      <c r="B41" s="5" t="n">
        <v>7</v>
      </c>
      <c r="C41" s="6" t="inlineStr">
        <is>
          <t>Do we have an AI use-case backlog?</t>
        </is>
      </c>
      <c r="D41" s="5" t="n"/>
      <c r="E41" s="5" t="inlineStr"/>
    </row>
    <row r="42" ht="22" customHeight="1">
      <c r="A42" s="7" t="inlineStr"/>
      <c r="B42" s="8" t="n">
        <v>8</v>
      </c>
      <c r="C42" s="9" t="inlineStr">
        <is>
          <t>Is there a recurring AI show-and-tell cadence?</t>
        </is>
      </c>
      <c r="D42" s="8" t="n"/>
      <c r="E42" s="8" t="inlineStr"/>
    </row>
    <row r="43" ht="22" customHeight="1">
      <c r="A43" s="10" t="inlineStr"/>
      <c r="B43" s="5" t="n">
        <v>9</v>
      </c>
      <c r="C43" s="6" t="inlineStr">
        <is>
          <t>Do staff have access to paid AI tool licenses where needed?</t>
        </is>
      </c>
      <c r="D43" s="5" t="n"/>
      <c r="E43" s="5" t="inlineStr"/>
    </row>
    <row r="44" ht="22" customHeight="1">
      <c r="A44" s="7" t="inlineStr"/>
      <c r="B44" s="8" t="n">
        <v>10</v>
      </c>
      <c r="C44" s="9" t="inlineStr">
        <is>
          <t>Have we measured AI usage impact on at least one workflow?</t>
        </is>
      </c>
      <c r="D44" s="8" t="n"/>
      <c r="E44" s="8" t="inlineStr"/>
    </row>
    <row r="45" ht="22" customHeight="1">
      <c r="A45" s="4" t="inlineStr">
        <is>
          <t>Governance + risk</t>
        </is>
      </c>
      <c r="B45" s="5" t="n">
        <v>1</v>
      </c>
      <c r="C45" s="6" t="inlineStr">
        <is>
          <t>Do we have a written AI usage policy?</t>
        </is>
      </c>
      <c r="D45" s="5" t="n"/>
      <c r="E45" s="5" t="inlineStr"/>
    </row>
    <row r="46" ht="22" customHeight="1">
      <c r="A46" s="7" t="inlineStr"/>
      <c r="B46" s="8" t="n">
        <v>2</v>
      </c>
      <c r="C46" s="9" t="inlineStr">
        <is>
          <t>Is there a process for approving new AI tools?</t>
        </is>
      </c>
      <c r="D46" s="8" t="n"/>
      <c r="E46" s="8" t="inlineStr"/>
    </row>
    <row r="47" ht="22" customHeight="1">
      <c r="A47" s="10" t="inlineStr"/>
      <c r="B47" s="5" t="n">
        <v>3</v>
      </c>
      <c r="C47" s="6" t="inlineStr">
        <is>
          <t>Are AI-generated outputs labelled as such?</t>
        </is>
      </c>
      <c r="D47" s="5" t="n"/>
      <c r="E47" s="5" t="inlineStr"/>
    </row>
    <row r="48" ht="22" customHeight="1">
      <c r="A48" s="7" t="inlineStr"/>
      <c r="B48" s="8" t="n">
        <v>4</v>
      </c>
      <c r="C48" s="9" t="inlineStr">
        <is>
          <t>Do we have a customer-disclosure stance on AI use?</t>
        </is>
      </c>
      <c r="D48" s="8" t="n"/>
      <c r="E48" s="8" t="inlineStr"/>
    </row>
    <row r="49" ht="22" customHeight="1">
      <c r="A49" s="10" t="inlineStr"/>
      <c r="B49" s="5" t="n">
        <v>5</v>
      </c>
      <c r="C49" s="6" t="inlineStr">
        <is>
          <t>Is there a board-level review of AI initiatives?</t>
        </is>
      </c>
      <c r="D49" s="5" t="n"/>
      <c r="E49" s="5" t="inlineStr"/>
    </row>
    <row r="50" ht="22" customHeight="1">
      <c r="A50" s="7" t="inlineStr"/>
      <c r="B50" s="8" t="n">
        <v>6</v>
      </c>
      <c r="C50" s="9" t="inlineStr">
        <is>
          <t>Do we have insurance covering AI-related liability?</t>
        </is>
      </c>
      <c r="D50" s="8" t="n"/>
      <c r="E50" s="8" t="inlineStr"/>
    </row>
    <row r="51" ht="22" customHeight="1">
      <c r="A51" s="10" t="inlineStr"/>
      <c r="B51" s="5" t="n">
        <v>7</v>
      </c>
      <c r="C51" s="6" t="inlineStr">
        <is>
          <t>Are AI vendor contracts reviewed by legal before signing?</t>
        </is>
      </c>
      <c r="D51" s="5" t="n"/>
      <c r="E51" s="5" t="inlineStr"/>
    </row>
    <row r="52" ht="22" customHeight="1">
      <c r="A52" s="7" t="inlineStr"/>
      <c r="B52" s="8" t="n">
        <v>8</v>
      </c>
      <c r="C52" s="9" t="inlineStr">
        <is>
          <t>Do we maintain an AI incident response playbook?</t>
        </is>
      </c>
      <c r="D52" s="8" t="n"/>
      <c r="E52" s="8" t="inlineStr"/>
    </row>
    <row r="53" ht="22" customHeight="1">
      <c r="A53" s="10" t="inlineStr"/>
      <c r="B53" s="5" t="n">
        <v>9</v>
      </c>
      <c r="C53" s="6" t="inlineStr">
        <is>
          <t>Is bias / fairness testing applied to customer-facing AI?</t>
        </is>
      </c>
      <c r="D53" s="5" t="n"/>
      <c r="E53" s="5" t="inlineStr"/>
    </row>
    <row r="54" ht="22" customHeight="1">
      <c r="A54" s="7" t="inlineStr"/>
      <c r="B54" s="8" t="n">
        <v>10</v>
      </c>
      <c r="C54" s="9" t="inlineStr">
        <is>
          <t>Do we have an opt-out mechanism for customer data in AI training?</t>
        </is>
      </c>
      <c r="D54" s="8" t="n"/>
      <c r="E54" s="8" t="inlineStr"/>
    </row>
    <row r="55" ht="22" customHeight="1">
      <c r="A55" s="4" t="inlineStr">
        <is>
          <t>Compliance posture</t>
        </is>
      </c>
      <c r="B55" s="5" t="n">
        <v>1</v>
      </c>
      <c r="C55" s="6" t="inlineStr">
        <is>
          <t>Are we GDPR compliant (if EU customers)?</t>
        </is>
      </c>
      <c r="D55" s="5" t="n"/>
      <c r="E55" s="5" t="inlineStr"/>
    </row>
    <row r="56" ht="22" customHeight="1">
      <c r="A56" s="7" t="inlineStr"/>
      <c r="B56" s="8" t="n">
        <v>2</v>
      </c>
      <c r="C56" s="9" t="inlineStr">
        <is>
          <t>Are we CCPA compliant (if California customers)?</t>
        </is>
      </c>
      <c r="D56" s="8" t="n"/>
      <c r="E56" s="8" t="inlineStr"/>
    </row>
    <row r="57" ht="22" customHeight="1">
      <c r="A57" s="10" t="inlineStr"/>
      <c r="B57" s="5" t="n">
        <v>3</v>
      </c>
      <c r="C57" s="6" t="inlineStr">
        <is>
          <t>Do we have SOC 2 Type 2 (or active path)?</t>
        </is>
      </c>
      <c r="D57" s="5" t="n"/>
      <c r="E57" s="5" t="inlineStr"/>
    </row>
    <row r="58" ht="22" customHeight="1">
      <c r="A58" s="7" t="inlineStr"/>
      <c r="B58" s="8" t="n">
        <v>4</v>
      </c>
      <c r="C58" s="9" t="inlineStr">
        <is>
          <t>Are AI processors covered by data processing agreements (DPAs)?</t>
        </is>
      </c>
      <c r="D58" s="8" t="n"/>
      <c r="E58" s="8" t="inlineStr"/>
    </row>
    <row r="59" ht="22" customHeight="1">
      <c r="A59" s="10" t="inlineStr"/>
      <c r="B59" s="5" t="n">
        <v>5</v>
      </c>
      <c r="C59" s="6" t="inlineStr">
        <is>
          <t>Do we maintain data residency where required?</t>
        </is>
      </c>
      <c r="D59" s="5" t="n"/>
      <c r="E59" s="5" t="inlineStr"/>
    </row>
    <row r="60" ht="22" customHeight="1">
      <c r="A60" s="7" t="inlineStr"/>
      <c r="B60" s="8" t="n">
        <v>6</v>
      </c>
      <c r="C60" s="9" t="inlineStr">
        <is>
          <t>Are AI-generated decisions documented for audit?</t>
        </is>
      </c>
      <c r="D60" s="8" t="n"/>
      <c r="E60" s="8" t="inlineStr"/>
    </row>
    <row r="61" ht="22" customHeight="1">
      <c r="A61" s="10" t="inlineStr"/>
      <c r="B61" s="5" t="n">
        <v>7</v>
      </c>
      <c r="C61" s="6" t="inlineStr">
        <is>
          <t>Do we have a documented vendor security review process?</t>
        </is>
      </c>
      <c r="D61" s="5" t="n"/>
      <c r="E61" s="5" t="inlineStr"/>
    </row>
    <row r="62" ht="22" customHeight="1">
      <c r="A62" s="7" t="inlineStr"/>
      <c r="B62" s="8" t="n">
        <v>8</v>
      </c>
      <c r="C62" s="9" t="inlineStr">
        <is>
          <t>Are penetration tests run at least annually?</t>
        </is>
      </c>
      <c r="D62" s="8" t="n"/>
      <c r="E62" s="8" t="inlineStr"/>
    </row>
    <row r="63" ht="22" customHeight="1">
      <c r="A63" s="10" t="inlineStr"/>
      <c r="B63" s="5" t="n">
        <v>9</v>
      </c>
      <c r="C63" s="6" t="inlineStr">
        <is>
          <t>Do we maintain a security incident response plan?</t>
        </is>
      </c>
      <c r="D63" s="5" t="n"/>
      <c r="E63" s="5" t="inlineStr"/>
    </row>
    <row r="64" ht="22" customHeight="1">
      <c r="A64" s="7" t="inlineStr"/>
      <c r="B64" s="8" t="n">
        <v>10</v>
      </c>
      <c r="C64" s="9" t="inlineStr">
        <is>
          <t>Are customer DPAs updated to cover AI sub-processors?</t>
        </is>
      </c>
      <c r="D64" s="8" t="n"/>
      <c r="E64" s="8" t="inlineStr"/>
    </row>
    <row r="65" ht="22" customHeight="1">
      <c r="A65" s="4" t="inlineStr">
        <is>
          <t>Talent</t>
        </is>
      </c>
      <c r="B65" s="5" t="n">
        <v>1</v>
      </c>
      <c r="C65" s="6" t="inlineStr">
        <is>
          <t>Do we have someone who can specify an AI workflow?</t>
        </is>
      </c>
      <c r="D65" s="5" t="n"/>
      <c r="E65" s="5" t="inlineStr"/>
    </row>
    <row r="66" ht="22" customHeight="1">
      <c r="A66" s="7" t="inlineStr"/>
      <c r="B66" s="8" t="n">
        <v>2</v>
      </c>
      <c r="C66" s="9" t="inlineStr">
        <is>
          <t>Do we have someone who can build it (code or no-code)?</t>
        </is>
      </c>
      <c r="D66" s="8" t="n"/>
      <c r="E66" s="8" t="inlineStr"/>
    </row>
    <row r="67" ht="22" customHeight="1">
      <c r="A67" s="10" t="inlineStr"/>
      <c r="B67" s="5" t="n">
        <v>3</v>
      </c>
      <c r="C67" s="6" t="inlineStr">
        <is>
          <t>Do we have someone who can operate it day-to-day?</t>
        </is>
      </c>
      <c r="D67" s="5" t="n"/>
      <c r="E67" s="5" t="inlineStr"/>
    </row>
    <row r="68" ht="22" customHeight="1">
      <c r="A68" s="7" t="inlineStr"/>
      <c r="B68" s="8" t="n">
        <v>4</v>
      </c>
      <c r="C68" s="9" t="inlineStr">
        <is>
          <t>Do we have someone who can audit it for drift?</t>
        </is>
      </c>
      <c r="D68" s="8" t="n"/>
      <c r="E68" s="8" t="inlineStr"/>
    </row>
    <row r="69" ht="22" customHeight="1">
      <c r="A69" s="10" t="inlineStr"/>
      <c r="B69" s="5" t="n">
        <v>5</v>
      </c>
      <c r="C69" s="6" t="inlineStr">
        <is>
          <t>Have we budgeted for AI-related training in the next 12 months?</t>
        </is>
      </c>
      <c r="D69" s="5" t="n"/>
      <c r="E69" s="5" t="inlineStr"/>
    </row>
    <row r="70" ht="22" customHeight="1">
      <c r="A70" s="7" t="inlineStr"/>
      <c r="B70" s="8" t="n">
        <v>6</v>
      </c>
      <c r="C70" s="9" t="inlineStr">
        <is>
          <t>Are job descriptions updated to include AI fluency expectations?</t>
        </is>
      </c>
      <c r="D70" s="8" t="n"/>
      <c r="E70" s="8" t="inlineStr"/>
    </row>
    <row r="71" ht="22" customHeight="1">
      <c r="A71" s="10" t="inlineStr"/>
      <c r="B71" s="5" t="n">
        <v>7</v>
      </c>
      <c r="C71" s="6" t="inlineStr">
        <is>
          <t>Do we have access to AI consulting for gaps?</t>
        </is>
      </c>
      <c r="D71" s="5" t="n"/>
      <c r="E71" s="5" t="inlineStr"/>
    </row>
    <row r="72" ht="22" customHeight="1">
      <c r="A72" s="7" t="inlineStr"/>
      <c r="B72" s="8" t="n">
        <v>8</v>
      </c>
      <c r="C72" s="9" t="inlineStr">
        <is>
          <t>Is there a career path for AI specialists internally?</t>
        </is>
      </c>
      <c r="D72" s="8" t="n"/>
      <c r="E72" s="8" t="inlineStr"/>
    </row>
    <row r="73" ht="22" customHeight="1">
      <c r="A73" s="10" t="inlineStr"/>
      <c r="B73" s="5" t="n">
        <v>9</v>
      </c>
      <c r="C73" s="6" t="inlineStr">
        <is>
          <t>Have we mapped which roles are most automatable?</t>
        </is>
      </c>
      <c r="D73" s="5" t="n"/>
      <c r="E73" s="5" t="inlineStr"/>
    </row>
    <row r="74" ht="22" customHeight="1">
      <c r="A74" s="7" t="inlineStr"/>
      <c r="B74" s="8" t="n">
        <v>10</v>
      </c>
      <c r="C74" s="9" t="inlineStr">
        <is>
          <t>Do we have a plan for displaced or augmented roles?</t>
        </is>
      </c>
      <c r="D74" s="8" t="n"/>
      <c r="E74" s="8" t="inlineStr"/>
    </row>
    <row r="75" ht="22" customHeight="1">
      <c r="A75" s="4" t="inlineStr">
        <is>
          <t>Process maturity</t>
        </is>
      </c>
      <c r="B75" s="5" t="n">
        <v>1</v>
      </c>
      <c r="C75" s="6" t="inlineStr">
        <is>
          <t>Are our top-5 business processes documented?</t>
        </is>
      </c>
      <c r="D75" s="5" t="n"/>
      <c r="E75" s="5" t="inlineStr"/>
    </row>
    <row r="76" ht="22" customHeight="1">
      <c r="A76" s="7" t="inlineStr"/>
      <c r="B76" s="8" t="n">
        <v>2</v>
      </c>
      <c r="C76" s="9" t="inlineStr">
        <is>
          <t>Are process SLAs measured?</t>
        </is>
      </c>
      <c r="D76" s="8" t="n"/>
      <c r="E76" s="8" t="inlineStr"/>
    </row>
    <row r="77" ht="22" customHeight="1">
      <c r="A77" s="10" t="inlineStr"/>
      <c r="B77" s="5" t="n">
        <v>3</v>
      </c>
      <c r="C77" s="6" t="inlineStr">
        <is>
          <t>Is there a recurring process improvement cadence (monthly+)?</t>
        </is>
      </c>
      <c r="D77" s="5" t="n"/>
      <c r="E77" s="5" t="inlineStr"/>
    </row>
    <row r="78" ht="22" customHeight="1">
      <c r="A78" s="7" t="inlineStr"/>
      <c r="B78" s="8" t="n">
        <v>4</v>
      </c>
      <c r="C78" s="9" t="inlineStr">
        <is>
          <t>Do we have process owners named for each top-5 process?</t>
        </is>
      </c>
      <c r="D78" s="8" t="n"/>
      <c r="E78" s="8" t="inlineStr"/>
    </row>
    <row r="79" ht="22" customHeight="1">
      <c r="A79" s="10" t="inlineStr"/>
      <c r="B79" s="5" t="n">
        <v>5</v>
      </c>
      <c r="C79" s="6" t="inlineStr">
        <is>
          <t>Are exceptions (edge cases) documented per process?</t>
        </is>
      </c>
      <c r="D79" s="5" t="n"/>
      <c r="E79" s="5" t="inlineStr"/>
    </row>
    <row r="80" ht="22" customHeight="1">
      <c r="A80" s="7" t="inlineStr"/>
      <c r="B80" s="8" t="n">
        <v>6</v>
      </c>
      <c r="C80" s="9" t="inlineStr">
        <is>
          <t>Do we maintain runbooks for critical workflows?</t>
        </is>
      </c>
      <c r="D80" s="8" t="n"/>
      <c r="E80" s="8" t="inlineStr"/>
    </row>
    <row r="81" ht="22" customHeight="1">
      <c r="A81" s="10" t="inlineStr"/>
      <c r="B81" s="5" t="n">
        <v>7</v>
      </c>
      <c r="C81" s="6" t="inlineStr">
        <is>
          <t>Are processes mapped to underlying tools used?</t>
        </is>
      </c>
      <c r="D81" s="5" t="n"/>
      <c r="E81" s="5" t="inlineStr"/>
    </row>
    <row r="82" ht="22" customHeight="1">
      <c r="A82" s="7" t="inlineStr"/>
      <c r="B82" s="8" t="n">
        <v>8</v>
      </c>
      <c r="C82" s="9" t="inlineStr">
        <is>
          <t>Have we measured task-frequency × duration for top processes?</t>
        </is>
      </c>
      <c r="D82" s="8" t="n"/>
      <c r="E82" s="8" t="inlineStr"/>
    </row>
    <row r="83" ht="22" customHeight="1">
      <c r="A83" s="10" t="inlineStr"/>
      <c r="B83" s="5" t="n">
        <v>9</v>
      </c>
      <c r="C83" s="6" t="inlineStr">
        <is>
          <t>Are process changes communicated to all stakeholders?</t>
        </is>
      </c>
      <c r="D83" s="5" t="n"/>
      <c r="E83" s="5" t="inlineStr"/>
    </row>
    <row r="84" ht="22" customHeight="1">
      <c r="A84" s="7" t="inlineStr"/>
      <c r="B84" s="8" t="n">
        <v>10</v>
      </c>
      <c r="C84" s="9" t="inlineStr">
        <is>
          <t>Do we sunset broken processes systematically?</t>
        </is>
      </c>
      <c r="D84" s="8" t="n"/>
      <c r="E84" s="8" t="inlineStr"/>
    </row>
    <row r="85" ht="22" customHeight="1">
      <c r="A85" s="4" t="inlineStr">
        <is>
          <t>Change management</t>
        </is>
      </c>
      <c r="B85" s="5" t="n">
        <v>1</v>
      </c>
      <c r="C85" s="6" t="inlineStr">
        <is>
          <t>How does the org typically respond to new tools? (positive = full score)</t>
        </is>
      </c>
      <c r="D85" s="5" t="n"/>
      <c r="E85" s="5" t="inlineStr"/>
    </row>
    <row r="86" ht="22" customHeight="1">
      <c r="A86" s="7" t="inlineStr"/>
      <c r="B86" s="8" t="n">
        <v>2</v>
      </c>
      <c r="C86" s="9" t="inlineStr">
        <is>
          <t>Who owns adoption when a new tool launches?</t>
        </is>
      </c>
      <c r="D86" s="8" t="n"/>
      <c r="E86" s="8" t="inlineStr"/>
    </row>
    <row r="87" ht="22" customHeight="1">
      <c r="A87" s="10" t="inlineStr"/>
      <c r="B87" s="5" t="n">
        <v>3</v>
      </c>
      <c r="C87" s="6" t="inlineStr">
        <is>
          <t>Is there a feedback loop after rollouts?</t>
        </is>
      </c>
      <c r="D87" s="5" t="n"/>
      <c r="E87" s="5" t="inlineStr"/>
    </row>
    <row r="88" ht="22" customHeight="1">
      <c r="A88" s="7" t="inlineStr"/>
      <c r="B88" s="8" t="n">
        <v>4</v>
      </c>
      <c r="C88" s="9" t="inlineStr">
        <is>
          <t>Do we measure adoption rate (not just deployment)?</t>
        </is>
      </c>
      <c r="D88" s="8" t="n"/>
      <c r="E88" s="8" t="inlineStr"/>
    </row>
    <row r="89" ht="22" customHeight="1">
      <c r="A89" s="10" t="inlineStr"/>
      <c r="B89" s="5" t="n">
        <v>5</v>
      </c>
      <c r="C89" s="6" t="inlineStr">
        <is>
          <t>Are change announcements consistent in format?</t>
        </is>
      </c>
      <c r="D89" s="5" t="n"/>
      <c r="E89" s="5" t="inlineStr"/>
    </row>
    <row r="90" ht="22" customHeight="1">
      <c r="A90" s="7" t="inlineStr"/>
      <c r="B90" s="8" t="n">
        <v>6</v>
      </c>
      <c r="C90" s="9" t="inlineStr">
        <is>
          <t>Do we provide training before rollouts?</t>
        </is>
      </c>
      <c r="D90" s="8" t="n"/>
      <c r="E90" s="8" t="inlineStr"/>
    </row>
    <row r="91" ht="22" customHeight="1">
      <c r="A91" s="10" t="inlineStr"/>
      <c r="B91" s="5" t="n">
        <v>7</v>
      </c>
      <c r="C91" s="6" t="inlineStr">
        <is>
          <t>Are change champions identified per team?</t>
        </is>
      </c>
      <c r="D91" s="5" t="n"/>
      <c r="E91" s="5" t="inlineStr"/>
    </row>
    <row r="92" ht="22" customHeight="1">
      <c r="A92" s="7" t="inlineStr"/>
      <c r="B92" s="8" t="n">
        <v>8</v>
      </c>
      <c r="C92" s="9" t="inlineStr">
        <is>
          <t>Do we run pilots before full rollout?</t>
        </is>
      </c>
      <c r="D92" s="8" t="n"/>
      <c r="E92" s="8" t="inlineStr"/>
    </row>
    <row r="93" ht="22" customHeight="1">
      <c r="A93" s="10" t="inlineStr"/>
      <c r="B93" s="5" t="n">
        <v>9</v>
      </c>
      <c r="C93" s="6" t="inlineStr">
        <is>
          <t>Are rollback plans documented?</t>
        </is>
      </c>
      <c r="D93" s="5" t="n"/>
      <c r="E93" s="5" t="inlineStr"/>
    </row>
    <row r="94" ht="22" customHeight="1">
      <c r="A94" s="7" t="inlineStr"/>
      <c r="B94" s="8" t="n">
        <v>10</v>
      </c>
      <c r="C94" s="9" t="inlineStr">
        <is>
          <t>Do we celebrate successful adoption wins?</t>
        </is>
      </c>
      <c r="D94" s="8" t="n"/>
      <c r="E94" s="8" t="inlineStr"/>
    </row>
    <row r="95" ht="22" customHeight="1">
      <c r="A95" s="4" t="inlineStr">
        <is>
          <t>Financial model</t>
        </is>
      </c>
      <c r="B95" s="5" t="n">
        <v>1</v>
      </c>
      <c r="C95" s="6" t="inlineStr">
        <is>
          <t>Can we measure ROI of automation projects?</t>
        </is>
      </c>
      <c r="D95" s="5" t="n"/>
      <c r="E95" s="5" t="inlineStr"/>
    </row>
    <row r="96" ht="22" customHeight="1">
      <c r="A96" s="7" t="inlineStr"/>
      <c r="B96" s="8" t="n">
        <v>2</v>
      </c>
      <c r="C96" s="9" t="inlineStr">
        <is>
          <t>Is there a budget line for AI tooling?</t>
        </is>
      </c>
      <c r="D96" s="8" t="n"/>
      <c r="E96" s="8" t="inlineStr"/>
    </row>
    <row r="97" ht="22" customHeight="1">
      <c r="A97" s="10" t="inlineStr"/>
      <c r="B97" s="5" t="n">
        <v>3</v>
      </c>
      <c r="C97" s="6" t="inlineStr">
        <is>
          <t>Are we tracking task-cost vs fully-loaded-employee-cost?</t>
        </is>
      </c>
      <c r="D97" s="5" t="n"/>
      <c r="E97" s="5" t="inlineStr"/>
    </row>
    <row r="98" ht="22" customHeight="1">
      <c r="A98" s="7" t="inlineStr"/>
      <c r="B98" s="8" t="n">
        <v>4</v>
      </c>
      <c r="C98" s="9" t="inlineStr">
        <is>
          <t>Do we have a payback-period threshold for automation projects?</t>
        </is>
      </c>
      <c r="D98" s="8" t="n"/>
      <c r="E98" s="8" t="inlineStr"/>
    </row>
    <row r="99" ht="22" customHeight="1">
      <c r="A99" s="10" t="inlineStr"/>
      <c r="B99" s="5" t="n">
        <v>5</v>
      </c>
      <c r="C99" s="6" t="inlineStr">
        <is>
          <t>Are tool costs allocated to business units accurately?</t>
        </is>
      </c>
      <c r="D99" s="5" t="n"/>
      <c r="E99" s="5" t="inlineStr"/>
    </row>
    <row r="100" ht="22" customHeight="1">
      <c r="A100" s="7" t="inlineStr"/>
      <c r="B100" s="8" t="n">
        <v>6</v>
      </c>
      <c r="C100" s="9" t="inlineStr">
        <is>
          <t>Do we forecast AI cost growth annually?</t>
        </is>
      </c>
      <c r="D100" s="8" t="n"/>
      <c r="E100" s="8" t="inlineStr"/>
    </row>
    <row r="101" ht="22" customHeight="1">
      <c r="A101" s="10" t="inlineStr"/>
      <c r="B101" s="5" t="n">
        <v>7</v>
      </c>
      <c r="C101" s="6" t="inlineStr">
        <is>
          <t>Is there a cost-per-workflow metric tracked?</t>
        </is>
      </c>
      <c r="D101" s="5" t="n"/>
      <c r="E101" s="5" t="inlineStr"/>
    </row>
    <row r="102" ht="22" customHeight="1">
      <c r="A102" s="7" t="inlineStr"/>
      <c r="B102" s="8" t="n">
        <v>8</v>
      </c>
      <c r="C102" s="9" t="inlineStr">
        <is>
          <t>Are AI token costs monitored and budgeted?</t>
        </is>
      </c>
      <c r="D102" s="8" t="n"/>
      <c r="E102" s="8" t="inlineStr"/>
    </row>
    <row r="103" ht="22" customHeight="1">
      <c r="A103" s="10" t="inlineStr"/>
      <c r="B103" s="5" t="n">
        <v>9</v>
      </c>
      <c r="C103" s="6" t="inlineStr">
        <is>
          <t>Do we benchmark AI spend against industry peers?</t>
        </is>
      </c>
      <c r="D103" s="5" t="n"/>
      <c r="E103" s="5" t="inlineStr"/>
    </row>
    <row r="104" ht="22" customHeight="1">
      <c r="A104" s="7" t="inlineStr"/>
      <c r="B104" s="8" t="n">
        <v>10</v>
      </c>
      <c r="C104" s="9" t="inlineStr">
        <is>
          <t>Is there a CFO-level review of AI spend?</t>
        </is>
      </c>
      <c r="D104" s="8" t="n"/>
      <c r="E104" s="8" t="inlineStr"/>
    </row>
    <row r="105" ht="22" customHeight="1">
      <c r="A105" s="4" t="inlineStr">
        <is>
          <t>Customer impact</t>
        </is>
      </c>
      <c r="B105" s="5" t="n">
        <v>1</v>
      </c>
      <c r="C105" s="6" t="inlineStr">
        <is>
          <t>Are customer-facing AI features labelled?</t>
        </is>
      </c>
      <c r="D105" s="5" t="n"/>
      <c r="E105" s="5" t="inlineStr"/>
    </row>
    <row r="106" ht="22" customHeight="1">
      <c r="A106" s="7" t="inlineStr"/>
      <c r="B106" s="8" t="n">
        <v>2</v>
      </c>
      <c r="C106" s="9" t="inlineStr">
        <is>
          <t>Is there a customer feedback channel for AI outputs?</t>
        </is>
      </c>
      <c r="D106" s="8" t="n"/>
      <c r="E106" s="8" t="inlineStr"/>
    </row>
    <row r="107" ht="22" customHeight="1">
      <c r="A107" s="10" t="inlineStr"/>
      <c r="B107" s="5" t="n">
        <v>3</v>
      </c>
      <c r="C107" s="6" t="inlineStr">
        <is>
          <t>Do we A/B test AI vs human alternatives?</t>
        </is>
      </c>
      <c r="D107" s="5" t="n"/>
      <c r="E107" s="5" t="inlineStr"/>
    </row>
    <row r="108" ht="22" customHeight="1">
      <c r="A108" s="7" t="inlineStr"/>
      <c r="B108" s="8" t="n">
        <v>4</v>
      </c>
      <c r="C108" s="9" t="inlineStr">
        <is>
          <t>Have we surveyed customers on AI comfort levels?</t>
        </is>
      </c>
      <c r="D108" s="8" t="n"/>
      <c r="E108" s="8" t="inlineStr"/>
    </row>
    <row r="109" ht="22" customHeight="1">
      <c r="A109" s="10" t="inlineStr"/>
      <c r="B109" s="5" t="n">
        <v>5</v>
      </c>
      <c r="C109" s="6" t="inlineStr">
        <is>
          <t>Are escalation paths to humans clear?</t>
        </is>
      </c>
      <c r="D109" s="5" t="n"/>
      <c r="E109" s="5" t="inlineStr"/>
    </row>
    <row r="110" ht="22" customHeight="1">
      <c r="A110" s="7" t="inlineStr"/>
      <c r="B110" s="8" t="n">
        <v>6</v>
      </c>
      <c r="C110" s="9" t="inlineStr">
        <is>
          <t>Do we measure customer satisfaction post-AI interaction?</t>
        </is>
      </c>
      <c r="D110" s="8" t="n"/>
      <c r="E110" s="8" t="inlineStr"/>
    </row>
    <row r="111" ht="22" customHeight="1">
      <c r="A111" s="10" t="inlineStr"/>
      <c r="B111" s="5" t="n">
        <v>7</v>
      </c>
      <c r="C111" s="6" t="inlineStr">
        <is>
          <t>Are AI errors tracked from a customer-impact angle?</t>
        </is>
      </c>
      <c r="D111" s="5" t="n"/>
      <c r="E111" s="5" t="inlineStr"/>
    </row>
    <row r="112" ht="22" customHeight="1">
      <c r="A112" s="7" t="inlineStr"/>
      <c r="B112" s="8" t="n">
        <v>8</v>
      </c>
      <c r="C112" s="9" t="inlineStr">
        <is>
          <t>Do we have a public AI principles statement?</t>
        </is>
      </c>
      <c r="D112" s="8" t="n"/>
      <c r="E112" s="8" t="inlineStr"/>
    </row>
    <row r="113" ht="22" customHeight="1">
      <c r="A113" s="10" t="inlineStr"/>
      <c r="B113" s="5" t="n">
        <v>9</v>
      </c>
      <c r="C113" s="6" t="inlineStr">
        <is>
          <t>Are customers given control over AI use on their data?</t>
        </is>
      </c>
      <c r="D113" s="5" t="n"/>
      <c r="E113" s="5" t="inlineStr"/>
    </row>
    <row r="114" ht="22" customHeight="1">
      <c r="A114" s="7" t="inlineStr"/>
      <c r="B114" s="8" t="n">
        <v>10</v>
      </c>
      <c r="C114" s="9" t="inlineStr">
        <is>
          <t>Do we measure trust scores related to AI features?</t>
        </is>
      </c>
      <c r="D114" s="8" t="n"/>
      <c r="E114" s="8" t="inlineStr"/>
    </row>
    <row r="115" ht="22" customHeight="1">
      <c r="A115" s="4" t="inlineStr">
        <is>
          <t>Strategic clarity</t>
        </is>
      </c>
      <c r="B115" s="5" t="n">
        <v>1</v>
      </c>
      <c r="C115" s="6" t="inlineStr">
        <is>
          <t>Do we have a 12-month AI roadmap?</t>
        </is>
      </c>
      <c r="D115" s="5" t="n"/>
      <c r="E115" s="5" t="inlineStr"/>
    </row>
    <row r="116" ht="22" customHeight="1">
      <c r="A116" s="7" t="inlineStr"/>
      <c r="B116" s="8" t="n">
        <v>2</v>
      </c>
      <c r="C116" s="9" t="inlineStr">
        <is>
          <t>Is the board briefed on AI quarterly?</t>
        </is>
      </c>
      <c r="D116" s="8" t="n"/>
      <c r="E116" s="8" t="inlineStr"/>
    </row>
    <row r="117" ht="22" customHeight="1">
      <c r="A117" s="10" t="inlineStr"/>
      <c r="B117" s="5" t="n">
        <v>3</v>
      </c>
      <c r="C117" s="6" t="inlineStr">
        <is>
          <t>Is there a defensible thesis for why AI is core to our business?</t>
        </is>
      </c>
      <c r="D117" s="5" t="n"/>
      <c r="E117" s="5" t="inlineStr"/>
    </row>
    <row r="118" ht="22" customHeight="1">
      <c r="A118" s="7" t="inlineStr"/>
      <c r="B118" s="8" t="n">
        <v>4</v>
      </c>
      <c r="C118" s="9" t="inlineStr">
        <is>
          <t>Have we identified AI moats vs commodity AI features?</t>
        </is>
      </c>
      <c r="D118" s="8" t="n"/>
      <c r="E118" s="8" t="inlineStr"/>
    </row>
    <row r="119" ht="22" customHeight="1">
      <c r="A119" s="10" t="inlineStr"/>
      <c r="B119" s="5" t="n">
        <v>5</v>
      </c>
      <c r="C119" s="6" t="inlineStr">
        <is>
          <t>Is AI a top-3 strategic priority for the year?</t>
        </is>
      </c>
      <c r="D119" s="5" t="n"/>
      <c r="E119" s="5" t="inlineStr"/>
    </row>
    <row r="120" ht="22" customHeight="1">
      <c r="A120" s="7" t="inlineStr"/>
      <c r="B120" s="8" t="n">
        <v>6</v>
      </c>
      <c r="C120" s="9" t="inlineStr">
        <is>
          <t>Do we know our 'AI competitive position' vs peers?</t>
        </is>
      </c>
      <c r="D120" s="8" t="n"/>
      <c r="E120" s="8" t="inlineStr"/>
    </row>
    <row r="121" ht="22" customHeight="1">
      <c r="A121" s="10" t="inlineStr"/>
      <c r="B121" s="5" t="n">
        <v>7</v>
      </c>
      <c r="C121" s="6" t="inlineStr">
        <is>
          <t>Is there a 3-year AI investment thesis?</t>
        </is>
      </c>
      <c r="D121" s="5" t="n"/>
      <c r="E121" s="5" t="inlineStr"/>
    </row>
    <row r="122" ht="22" customHeight="1">
      <c r="A122" s="7" t="inlineStr"/>
      <c r="B122" s="8" t="n">
        <v>8</v>
      </c>
      <c r="C122" s="9" t="inlineStr">
        <is>
          <t>Are AI initiatives tied to strategic OKRs?</t>
        </is>
      </c>
      <c r="D122" s="8" t="n"/>
      <c r="E122" s="8" t="inlineStr"/>
    </row>
    <row r="123" ht="22" customHeight="1">
      <c r="A123" s="10" t="inlineStr"/>
      <c r="B123" s="5" t="n">
        <v>9</v>
      </c>
      <c r="C123" s="6" t="inlineStr">
        <is>
          <t>Do we have an AI failure tolerance / risk appetite?</t>
        </is>
      </c>
      <c r="D123" s="5" t="n"/>
      <c r="E123" s="5" t="inlineStr"/>
    </row>
    <row r="124" ht="22" customHeight="1">
      <c r="A124" s="7" t="inlineStr"/>
      <c r="B124" s="8" t="n">
        <v>10</v>
      </c>
      <c r="C124" s="9" t="inlineStr">
        <is>
          <t>Have we communicated AI strategy to all-hands?</t>
        </is>
      </c>
      <c r="D124" s="8" t="n"/>
      <c r="E124" s="8" t="inlineStr"/>
    </row>
    <row r="127">
      <c r="A127" s="11" t="inlineStr">
        <is>
          <t>DIMENSION SUMMARY</t>
        </is>
      </c>
    </row>
    <row r="128">
      <c r="A128" s="12" t="inlineStr">
        <is>
          <t>Dimension</t>
        </is>
      </c>
      <c r="B128" s="12" t="inlineStr">
        <is>
          <t>Sub-total (max 100)</t>
        </is>
      </c>
      <c r="C128" s="12" t="inlineStr">
        <is>
          <t>% Complete</t>
        </is>
      </c>
      <c r="D128" s="12" t="inlineStr">
        <is>
          <t>Tier</t>
        </is>
      </c>
      <c r="E128" s="12" t="inlineStr">
        <is>
          <t>Priority</t>
        </is>
      </c>
    </row>
    <row r="129">
      <c r="A129" s="13" t="inlineStr">
        <is>
          <t>Data foundation</t>
        </is>
      </c>
      <c r="B129" s="14">
        <f>SUM(D5:D14)</f>
        <v/>
      </c>
      <c r="C129" s="15">
        <f>B129/100</f>
        <v/>
      </c>
      <c r="D129" s="14">
        <f>IF(C129&gt;=0.85,"Leading",IF(C129&gt;=0.7,"Advanced",IF(C129&gt;=0.5,"Operating",IF(C129&gt;=0.3,"Building","Foundational"))))</f>
        <v/>
      </c>
      <c r="E129" s="14">
        <f>IF(C129&lt;0.5,"HIGH","")</f>
        <v/>
      </c>
    </row>
    <row r="130">
      <c r="A130" s="13" t="inlineStr">
        <is>
          <t>Identity + access</t>
        </is>
      </c>
      <c r="B130" s="14">
        <f>SUM(D15:D24)</f>
        <v/>
      </c>
      <c r="C130" s="15">
        <f>B130/100</f>
        <v/>
      </c>
      <c r="D130" s="14">
        <f>IF(C130&gt;=0.85,"Leading",IF(C130&gt;=0.7,"Advanced",IF(C130&gt;=0.5,"Operating",IF(C130&gt;=0.3,"Building","Foundational"))))</f>
        <v/>
      </c>
      <c r="E130" s="14">
        <f>IF(C130&lt;0.5,"HIGH","")</f>
        <v/>
      </c>
    </row>
    <row r="131">
      <c r="A131" s="13" t="inlineStr">
        <is>
          <t>Tool architecture</t>
        </is>
      </c>
      <c r="B131" s="14">
        <f>SUM(D25:D34)</f>
        <v/>
      </c>
      <c r="C131" s="15">
        <f>B131/100</f>
        <v/>
      </c>
      <c r="D131" s="14">
        <f>IF(C131&gt;=0.85,"Leading",IF(C131&gt;=0.7,"Advanced",IF(C131&gt;=0.5,"Operating",IF(C131&gt;=0.3,"Building","Foundational"))))</f>
        <v/>
      </c>
      <c r="E131" s="14">
        <f>IF(C131&lt;0.5,"HIGH","")</f>
        <v/>
      </c>
    </row>
    <row r="132">
      <c r="A132" s="13" t="inlineStr">
        <is>
          <t>AI literacy</t>
        </is>
      </c>
      <c r="B132" s="14">
        <f>SUM(D35:D44)</f>
        <v/>
      </c>
      <c r="C132" s="15">
        <f>B132/100</f>
        <v/>
      </c>
      <c r="D132" s="14">
        <f>IF(C132&gt;=0.85,"Leading",IF(C132&gt;=0.7,"Advanced",IF(C132&gt;=0.5,"Operating",IF(C132&gt;=0.3,"Building","Foundational"))))</f>
        <v/>
      </c>
      <c r="E132" s="14">
        <f>IF(C132&lt;0.5,"HIGH","")</f>
        <v/>
      </c>
    </row>
    <row r="133">
      <c r="A133" s="13" t="inlineStr">
        <is>
          <t>Governance + risk</t>
        </is>
      </c>
      <c r="B133" s="14">
        <f>SUM(D45:D54)</f>
        <v/>
      </c>
      <c r="C133" s="15">
        <f>B133/100</f>
        <v/>
      </c>
      <c r="D133" s="14">
        <f>IF(C133&gt;=0.85,"Leading",IF(C133&gt;=0.7,"Advanced",IF(C133&gt;=0.5,"Operating",IF(C133&gt;=0.3,"Building","Foundational"))))</f>
        <v/>
      </c>
      <c r="E133" s="14">
        <f>IF(C133&lt;0.5,"HIGH","")</f>
        <v/>
      </c>
    </row>
    <row r="134">
      <c r="A134" s="13" t="inlineStr">
        <is>
          <t>Compliance posture</t>
        </is>
      </c>
      <c r="B134" s="14">
        <f>SUM(D55:D64)</f>
        <v/>
      </c>
      <c r="C134" s="15">
        <f>B134/100</f>
        <v/>
      </c>
      <c r="D134" s="14">
        <f>IF(C134&gt;=0.85,"Leading",IF(C134&gt;=0.7,"Advanced",IF(C134&gt;=0.5,"Operating",IF(C134&gt;=0.3,"Building","Foundational"))))</f>
        <v/>
      </c>
      <c r="E134" s="14">
        <f>IF(C134&lt;0.5,"HIGH","")</f>
        <v/>
      </c>
    </row>
    <row r="135">
      <c r="A135" s="13" t="inlineStr">
        <is>
          <t>Talent</t>
        </is>
      </c>
      <c r="B135" s="14">
        <f>SUM(D65:D74)</f>
        <v/>
      </c>
      <c r="C135" s="15">
        <f>B135/100</f>
        <v/>
      </c>
      <c r="D135" s="14">
        <f>IF(C135&gt;=0.85,"Leading",IF(C135&gt;=0.7,"Advanced",IF(C135&gt;=0.5,"Operating",IF(C135&gt;=0.3,"Building","Foundational"))))</f>
        <v/>
      </c>
      <c r="E135" s="14">
        <f>IF(C135&lt;0.5,"HIGH","")</f>
        <v/>
      </c>
    </row>
    <row r="136">
      <c r="A136" s="13" t="inlineStr">
        <is>
          <t>Process maturity</t>
        </is>
      </c>
      <c r="B136" s="14">
        <f>SUM(D75:D84)</f>
        <v/>
      </c>
      <c r="C136" s="15">
        <f>B136/100</f>
        <v/>
      </c>
      <c r="D136" s="14">
        <f>IF(C136&gt;=0.85,"Leading",IF(C136&gt;=0.7,"Advanced",IF(C136&gt;=0.5,"Operating",IF(C136&gt;=0.3,"Building","Foundational"))))</f>
        <v/>
      </c>
      <c r="E136" s="14">
        <f>IF(C136&lt;0.5,"HIGH","")</f>
        <v/>
      </c>
    </row>
    <row r="137">
      <c r="A137" s="13" t="inlineStr">
        <is>
          <t>Change management</t>
        </is>
      </c>
      <c r="B137" s="14">
        <f>SUM(D85:D94)</f>
        <v/>
      </c>
      <c r="C137" s="15">
        <f>B137/100</f>
        <v/>
      </c>
      <c r="D137" s="14">
        <f>IF(C137&gt;=0.85,"Leading",IF(C137&gt;=0.7,"Advanced",IF(C137&gt;=0.5,"Operating",IF(C137&gt;=0.3,"Building","Foundational"))))</f>
        <v/>
      </c>
      <c r="E137" s="14">
        <f>IF(C137&lt;0.5,"HIGH","")</f>
        <v/>
      </c>
    </row>
    <row r="138">
      <c r="A138" s="13" t="inlineStr">
        <is>
          <t>Financial model</t>
        </is>
      </c>
      <c r="B138" s="14">
        <f>SUM(D95:D104)</f>
        <v/>
      </c>
      <c r="C138" s="15">
        <f>B138/100</f>
        <v/>
      </c>
      <c r="D138" s="14">
        <f>IF(C138&gt;=0.85,"Leading",IF(C138&gt;=0.7,"Advanced",IF(C138&gt;=0.5,"Operating",IF(C138&gt;=0.3,"Building","Foundational"))))</f>
        <v/>
      </c>
      <c r="E138" s="14">
        <f>IF(C138&lt;0.5,"HIGH","")</f>
        <v/>
      </c>
    </row>
    <row r="139">
      <c r="A139" s="13" t="inlineStr">
        <is>
          <t>Customer impact</t>
        </is>
      </c>
      <c r="B139" s="14">
        <f>SUM(D105:D114)</f>
        <v/>
      </c>
      <c r="C139" s="15">
        <f>B139/100</f>
        <v/>
      </c>
      <c r="D139" s="14">
        <f>IF(C139&gt;=0.85,"Leading",IF(C139&gt;=0.7,"Advanced",IF(C139&gt;=0.5,"Operating",IF(C139&gt;=0.3,"Building","Foundational"))))</f>
        <v/>
      </c>
      <c r="E139" s="14">
        <f>IF(C139&lt;0.5,"HIGH","")</f>
        <v/>
      </c>
    </row>
    <row r="140">
      <c r="A140" s="13" t="inlineStr">
        <is>
          <t>Strategic clarity</t>
        </is>
      </c>
      <c r="B140" s="14">
        <f>SUM(D115:D124)</f>
        <v/>
      </c>
      <c r="C140" s="15">
        <f>B140/100</f>
        <v/>
      </c>
      <c r="D140" s="14">
        <f>IF(C140&gt;=0.85,"Leading",IF(C140&gt;=0.7,"Advanced",IF(C140&gt;=0.5,"Operating",IF(C140&gt;=0.3,"Building","Foundational"))))</f>
        <v/>
      </c>
      <c r="E140" s="14">
        <f>IF(C140&lt;0.5,"HIGH","")</f>
        <v/>
      </c>
    </row>
    <row r="142">
      <c r="A142" s="11" t="inlineStr">
        <is>
          <t>OVERALL</t>
        </is>
      </c>
      <c r="B142" s="16">
        <f>SUM(B129:B140)</f>
        <v/>
      </c>
      <c r="C142" s="17">
        <f>B142/1200</f>
        <v/>
      </c>
      <c r="D142" s="11">
        <f>IF(C142&gt;=0.85,"LEADING",IF(C142&gt;=0.7,"ADVANCED",IF(C142&gt;=0.5,"OPERATING",IF(C142&gt;=0.3,"BUILDING","FOUNDATIONAL"))))</f>
        <v/>
      </c>
    </row>
    <row r="145">
      <c r="A145" s="18" t="inlineStr">
        <is>
          <t>TIER GUIDE</t>
        </is>
      </c>
    </row>
    <row r="146" ht="24" customHeight="1">
      <c r="A146" s="19" t="inlineStr">
        <is>
          <t>0–30%  Foundational</t>
        </is>
      </c>
      <c r="C146" s="20" t="inlineStr">
        <is>
          <t>Hire/contract an AI lead first. Don't roll out enterprise AI yet.</t>
        </is>
      </c>
    </row>
    <row r="147" ht="24" customHeight="1">
      <c r="A147" s="19" t="inlineStr">
        <is>
          <t>31–50% Building</t>
        </is>
      </c>
      <c r="C147" s="20" t="inlineStr">
        <is>
          <t>Pick 1–2 high-leverage workflows. Pilot for 90 days.</t>
        </is>
      </c>
    </row>
    <row r="148" ht="24" customHeight="1">
      <c r="A148" s="19" t="inlineStr">
        <is>
          <t>51–70% Operating</t>
        </is>
      </c>
      <c r="C148" s="20" t="inlineStr">
        <is>
          <t>Scale pilots to 5–10 production workflows. Establish governance.</t>
        </is>
      </c>
    </row>
    <row r="149" ht="24" customHeight="1">
      <c r="A149" s="19" t="inlineStr">
        <is>
          <t>71–85% Advanced</t>
        </is>
      </c>
      <c r="C149" s="20" t="inlineStr">
        <is>
          <t>Compound: center of excellence. Train internal champions.</t>
        </is>
      </c>
    </row>
    <row r="150" ht="24" customHeight="1">
      <c r="A150" s="19" t="inlineStr">
        <is>
          <t>86–100% Leading</t>
        </is>
      </c>
      <c r="C150" s="20" t="inlineStr">
        <is>
          <t>Ahead of 95% of peers. Focus on talent retention + safety.</t>
        </is>
      </c>
    </row>
    <row r="153">
      <c r="A153" s="21" t="inlineStr">
        <is>
          <t>Aiprosol · aiprosol.com · Redeem your 30-min scoring call: srijanpaudelofficial@gmail.com</t>
        </is>
      </c>
    </row>
  </sheetData>
  <mergeCells count="3">
    <mergeCell ref="A2:E2"/>
    <mergeCell ref="A127:E127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2026-05-15T02:55:44Z</dcterms:created>
  <dcterms:modified xmlns:dcterms="http://purl.org/dc/terms/" xmlns:xsi="http://www.w3.org/2001/XMLSchema-instance" xsi:type="dcterms:W3CDTF">2026-05-15T02:55:44Z</dcterms:modified>
</cp:coreProperties>
</file>