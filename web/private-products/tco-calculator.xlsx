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8">
    <font>
      <name val="Calibri"/>
      <family val="2"/>
      <color theme="1"/>
      <sz val="11"/>
      <scheme val="minor"/>
    </font>
    <font>
      <b val="1"/>
      <color rgb="008B5CF6"/>
      <sz val="18"/>
    </font>
    <font>
      <i val="1"/>
      <color rgb="00666666"/>
    </font>
    <font>
      <b val="1"/>
      <color rgb="008B5CF6"/>
    </font>
    <font>
      <b val="1"/>
    </font>
    <font>
      <b val="1"/>
      <color rgb="00FFFFFF"/>
    </font>
    <font>
      <b val="1"/>
      <color rgb="008B5CF6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4F1FA"/>
      </patternFill>
    </fill>
    <fill>
      <patternFill patternType="solid">
        <fgColor rgb="008B5CF6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  <xf numFmtId="0" fontId="6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Aiprosol · AI Stack TCO Calculator</t>
        </is>
      </c>
    </row>
    <row r="2">
      <c r="A2" s="2" t="inlineStr">
        <is>
          <t>Plug in your usage. Outputs annual cost + cost-per-user.</t>
        </is>
      </c>
    </row>
    <row r="4">
      <c r="A4" s="3" t="inlineStr">
        <is>
          <t>ORG ASSUMPTIONS</t>
        </is>
      </c>
    </row>
    <row r="5">
      <c r="A5" s="4" t="inlineStr">
        <is>
          <t>Employees (FTE)</t>
        </is>
      </c>
      <c r="B5" s="5" t="n">
        <v>25</v>
      </c>
    </row>
    <row r="6">
      <c r="A6" s="4" t="inlineStr">
        <is>
          <t>Avg fully-loaded $/hour</t>
        </is>
      </c>
      <c r="B6" s="5" t="n">
        <v>100</v>
      </c>
    </row>
    <row r="7">
      <c r="A7" s="4" t="inlineStr">
        <is>
          <t>Active automation workflows</t>
        </is>
      </c>
      <c r="B7" s="5" t="n">
        <v>12</v>
      </c>
    </row>
    <row r="8">
      <c r="A8" s="4" t="inlineStr">
        <is>
          <t>Avg runs/day per workflow</t>
        </is>
      </c>
      <c r="B8" s="5" t="n">
        <v>50</v>
      </c>
    </row>
    <row r="10">
      <c r="A10" s="6" t="inlineStr">
        <is>
          <t>TOOL</t>
        </is>
      </c>
      <c r="B10" s="6" t="inlineStr">
        <is>
          <t>TIER / PLAN</t>
        </is>
      </c>
      <c r="C10" s="6" t="inlineStr">
        <is>
          <t>MONTHLY $</t>
        </is>
      </c>
      <c r="D10" s="6" t="inlineStr">
        <is>
          <t>ANNUAL $</t>
        </is>
      </c>
      <c r="E10" s="6" t="inlineStr">
        <is>
          <t>PER-USER $</t>
        </is>
      </c>
      <c r="F10" s="6" t="inlineStr">
        <is>
          <t>NOTES</t>
        </is>
      </c>
    </row>
    <row r="11">
      <c r="A11" s="7" t="inlineStr">
        <is>
          <t>Claude (Anthropic API)</t>
        </is>
      </c>
      <c r="B11" s="7" t="inlineStr">
        <is>
          <t>Pay-as-you-go</t>
        </is>
      </c>
      <c r="C11" s="8" t="n">
        <v>30</v>
      </c>
      <c r="D11" s="8">
        <f>C11*12</f>
        <v/>
      </c>
      <c r="E11" s="9">
        <f>D11/B5</f>
        <v/>
      </c>
      <c r="F11" s="7" t="inlineStr">
        <is>
          <t>10M tokens/mo at $3/1M</t>
        </is>
      </c>
    </row>
    <row r="12">
      <c r="A12" s="10" t="inlineStr">
        <is>
          <t>GPT-4o-mini (OpenAI)</t>
        </is>
      </c>
      <c r="B12" s="10" t="inlineStr">
        <is>
          <t>Pay-as-you-go</t>
        </is>
      </c>
      <c r="C12" s="11" t="n">
        <v>8</v>
      </c>
      <c r="D12" s="11">
        <f>C12*12</f>
        <v/>
      </c>
      <c r="E12" s="12">
        <f>D12/B5</f>
        <v/>
      </c>
      <c r="F12" s="10" t="inlineStr">
        <is>
          <t>50M tokens/mo at $0.15/1M</t>
        </is>
      </c>
    </row>
    <row r="13">
      <c r="A13" s="7" t="inlineStr">
        <is>
          <t>n8n self-hosted</t>
        </is>
      </c>
      <c r="B13" s="7" t="inlineStr">
        <is>
          <t>VPS $5/mo</t>
        </is>
      </c>
      <c r="C13" s="8" t="n">
        <v>5</v>
      </c>
      <c r="D13" s="8">
        <f>C13*12</f>
        <v/>
      </c>
      <c r="E13" s="9">
        <f>D13/B5</f>
        <v/>
      </c>
      <c r="F13" s="7" t="inlineStr">
        <is>
          <t>Unmetered. Or n8n Cloud Starter $20.</t>
        </is>
      </c>
    </row>
    <row r="14">
      <c r="A14" s="10" t="inlineStr">
        <is>
          <t>HubSpot Free</t>
        </is>
      </c>
      <c r="B14" s="10" t="inlineStr">
        <is>
          <t>$0</t>
        </is>
      </c>
      <c r="C14" s="11" t="n">
        <v>0</v>
      </c>
      <c r="D14" s="11">
        <f>C14*12</f>
        <v/>
      </c>
      <c r="E14" s="12">
        <f>D14/B5</f>
        <v/>
      </c>
      <c r="F14" s="10" t="inlineStr">
        <is>
          <t>Free up to 1M contacts. Upgrade only at scale.</t>
        </is>
      </c>
    </row>
    <row r="15">
      <c r="A15" s="7" t="inlineStr">
        <is>
          <t>Supabase Pro</t>
        </is>
      </c>
      <c r="B15" s="7" t="inlineStr">
        <is>
          <t>Pro plan</t>
        </is>
      </c>
      <c r="C15" s="8" t="n">
        <v>25</v>
      </c>
      <c r="D15" s="8">
        <f>C15*12</f>
        <v/>
      </c>
      <c r="E15" s="9">
        <f>D15/B5</f>
        <v/>
      </c>
      <c r="F15" s="7" t="inlineStr">
        <is>
          <t>DB + auth + storage + pgvector</t>
        </is>
      </c>
    </row>
    <row r="16">
      <c r="A16" s="10" t="inlineStr">
        <is>
          <t>Resend</t>
        </is>
      </c>
      <c r="B16" s="10" t="inlineStr">
        <is>
          <t>$20 + usage</t>
        </is>
      </c>
      <c r="C16" s="11" t="n">
        <v>35</v>
      </c>
      <c r="D16" s="11">
        <f>C16*12</f>
        <v/>
      </c>
      <c r="E16" s="12">
        <f>D16/B5</f>
        <v/>
      </c>
      <c r="F16" s="10" t="inlineStr">
        <is>
          <t>100k emails for $35</t>
        </is>
      </c>
    </row>
    <row r="17">
      <c r="A17" s="7" t="inlineStr">
        <is>
          <t>Cal.com self-hosted</t>
        </is>
      </c>
      <c r="B17" s="7" t="inlineStr">
        <is>
          <t>$0</t>
        </is>
      </c>
      <c r="C17" s="8" t="n">
        <v>0</v>
      </c>
      <c r="D17" s="8">
        <f>C17*12</f>
        <v/>
      </c>
      <c r="E17" s="9">
        <f>D17/B5</f>
        <v/>
      </c>
      <c r="F17" s="7" t="inlineStr">
        <is>
          <t>Or Calendly Standard $10/mo</t>
        </is>
      </c>
    </row>
    <row r="18">
      <c r="A18" s="10" t="inlineStr">
        <is>
          <t>PostHog Cloud</t>
        </is>
      </c>
      <c r="B18" s="10" t="inlineStr">
        <is>
          <t>Free tier</t>
        </is>
      </c>
      <c r="C18" s="11" t="n">
        <v>0</v>
      </c>
      <c r="D18" s="11">
        <f>C18*12</f>
        <v/>
      </c>
      <c r="E18" s="12">
        <f>D18/B5</f>
        <v/>
      </c>
      <c r="F18" s="10" t="inlineStr">
        <is>
          <t>Free up to 1M events/mo</t>
        </is>
      </c>
    </row>
    <row r="19">
      <c r="A19" s="7" t="inlineStr">
        <is>
          <t>Plain</t>
        </is>
      </c>
      <c r="B19" s="7" t="inlineStr">
        <is>
          <t>Plain Basic</t>
        </is>
      </c>
      <c r="C19" s="8" t="n">
        <v>79</v>
      </c>
      <c r="D19" s="8">
        <f>C19*12</f>
        <v/>
      </c>
      <c r="E19" s="9">
        <f>D19/B5</f>
        <v/>
      </c>
      <c r="F19" s="7" t="inlineStr">
        <is>
          <t>Per seat $79/mo</t>
        </is>
      </c>
    </row>
    <row r="20">
      <c r="A20" s="10" t="inlineStr">
        <is>
          <t>Notion</t>
        </is>
      </c>
      <c r="B20" s="10" t="inlineStr">
        <is>
          <t>$10 × 25 seats</t>
        </is>
      </c>
      <c r="C20" s="11" t="n">
        <v>250</v>
      </c>
      <c r="D20" s="11">
        <f>C20*12</f>
        <v/>
      </c>
      <c r="E20" s="12">
        <f>D20/B5</f>
        <v/>
      </c>
      <c r="F20" s="10" t="inlineStr">
        <is>
          <t>Wiki + databases</t>
        </is>
      </c>
    </row>
    <row r="21">
      <c r="A21" s="7" t="inlineStr">
        <is>
          <t>Google Workspace</t>
        </is>
      </c>
      <c r="B21" s="7" t="inlineStr">
        <is>
          <t>$14 × 25 seats</t>
        </is>
      </c>
      <c r="C21" s="8" t="n">
        <v>350</v>
      </c>
      <c r="D21" s="8">
        <f>C21*12</f>
        <v/>
      </c>
      <c r="E21" s="9">
        <f>D21/B5</f>
        <v/>
      </c>
      <c r="F21" s="7" t="inlineStr">
        <is>
          <t>Business Standard</t>
        </is>
      </c>
    </row>
    <row r="22">
      <c r="A22" s="10" t="inlineStr">
        <is>
          <t>Slack Pro</t>
        </is>
      </c>
      <c r="B22" s="10" t="inlineStr">
        <is>
          <t>$8 × 25 seats</t>
        </is>
      </c>
      <c r="C22" s="11" t="n">
        <v>200</v>
      </c>
      <c r="D22" s="11">
        <f>C22*12</f>
        <v/>
      </c>
      <c r="E22" s="12">
        <f>D22/B5</f>
        <v/>
      </c>
      <c r="F22" s="10" t="inlineStr">
        <is>
          <t>Pro plan</t>
        </is>
      </c>
    </row>
    <row r="23">
      <c r="A23" s="7" t="inlineStr">
        <is>
          <t>Stripe (billing)</t>
        </is>
      </c>
      <c r="B23" s="7" t="inlineStr">
        <is>
          <t>2.9% + 30c</t>
        </is>
      </c>
      <c r="C23" s="8" t="n">
        <v>0</v>
      </c>
      <c r="D23" s="8">
        <f>C23*12</f>
        <v/>
      </c>
      <c r="E23" s="9">
        <f>D23/B5</f>
        <v/>
      </c>
      <c r="F23" s="7" t="inlineStr">
        <is>
          <t>Passthrough — varies by rev</t>
        </is>
      </c>
    </row>
    <row r="24">
      <c r="A24" s="10" t="inlineStr">
        <is>
          <t>Mercury</t>
        </is>
      </c>
      <c r="B24" s="10" t="inlineStr">
        <is>
          <t>$0</t>
        </is>
      </c>
      <c r="C24" s="11" t="n">
        <v>0</v>
      </c>
      <c r="D24" s="11">
        <f>C24*12</f>
        <v/>
      </c>
      <c r="E24" s="12">
        <f>D24/B5</f>
        <v/>
      </c>
      <c r="F24" s="10" t="inlineStr">
        <is>
          <t>US banking, free</t>
        </is>
      </c>
    </row>
    <row r="25">
      <c r="A25" s="13" t="inlineStr">
        <is>
          <t>TOTAL FIXED</t>
        </is>
      </c>
      <c r="C25" s="14">
        <f>SUM(C11:C24)</f>
        <v/>
      </c>
      <c r="D25" s="14">
        <f>SUM(D11:D24)</f>
        <v/>
      </c>
      <c r="E25" s="14">
        <f>D25/B5</f>
        <v/>
      </c>
    </row>
    <row r="28">
      <c r="A28" s="13" t="inlineStr">
        <is>
          <t>BREAK-EVEN GUIDANCE</t>
        </is>
      </c>
    </row>
    <row r="29">
      <c r="A29" t="inlineStr">
        <is>
          <t>If workflows × runs/day &gt; 5000: migrate from Zapier to Make</t>
        </is>
      </c>
    </row>
    <row r="30">
      <c r="A30" t="inlineStr">
        <is>
          <t>If workflows × runs/day &gt; 50000: migrate from Make to n8n self-hosted</t>
        </is>
      </c>
    </row>
    <row r="31">
      <c r="A31" t="inlineStr">
        <is>
          <t>If LLM tokens/mo &gt; 100M: consider Together.ai / Groq for cost arbitrage</t>
        </is>
      </c>
    </row>
    <row r="32">
      <c r="A32" t="inlineStr">
        <is>
          <t>If seat-cost &gt; 25% of total: re-evaluate per-seat tools (Notion, Slack alternatives)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2026-05-15T02:58:04Z</dcterms:created>
  <dcterms:modified xmlns:dcterms="http://purl.org/dc/terms/" xmlns:xsi="http://www.w3.org/2001/XMLSchema-instance" xsi:type="dcterms:W3CDTF">2026-05-15T02:58:04Z</dcterms:modified>
</cp:coreProperties>
</file>