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flow Tool Comparis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$#,##0"/>
    <numFmt numFmtId="165" formatCode="$#,##0.00"/>
  </numFmts>
  <fonts count="7">
    <font>
      <name val="Calibri"/>
      <family val="2"/>
      <color theme="1"/>
      <sz val="11"/>
      <scheme val="minor"/>
    </font>
    <font>
      <b val="1"/>
      <color rgb="008B5CF6"/>
      <sz val="18"/>
    </font>
    <font>
      <i val="1"/>
      <color rgb="00666666"/>
    </font>
    <font>
      <b val="1"/>
      <color rgb="008B5CF6"/>
    </font>
    <font>
      <b val="1"/>
      <color rgb="00FFFFFF"/>
    </font>
    <font>
      <b val="1"/>
      <color rgb="008B5CF6"/>
      <sz val="12"/>
    </font>
    <font>
      <b val="1"/>
      <sz val="12"/>
    </font>
  </fonts>
  <fills count="4">
    <fill>
      <patternFill/>
    </fill>
    <fill>
      <patternFill patternType="gray125"/>
    </fill>
    <fill>
      <patternFill patternType="solid">
        <fgColor rgb="008B5CF6"/>
      </patternFill>
    </fill>
    <fill>
      <patternFill patternType="solid">
        <fgColor rgb="00F4F1FA"/>
      </patternFill>
    </fill>
  </fills>
  <borders count="2">
    <border>
      <left/>
      <right/>
      <top/>
      <bottom/>
      <diagonal/>
    </border>
    <border>
      <left style="thin">
        <color rgb="00D4D4D4"/>
      </left>
      <right style="thin">
        <color rgb="00D4D4D4"/>
      </right>
      <top style="thin">
        <color rgb="00D4D4D4"/>
      </top>
      <bottom style="thin">
        <color rgb="00D4D4D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3" fontId="0" fillId="0" borderId="0" pivotButton="0" quotePrefix="0" xfId="0"/>
    <xf numFmtId="0" fontId="4" fillId="2" borderId="1" pivotButton="0" quotePrefix="0" xfId="0"/>
    <xf numFmtId="0" fontId="0" fillId="3" borderId="1" pivotButton="0" quotePrefix="0" xfId="0"/>
    <xf numFmtId="164" fontId="0" fillId="3" borderId="1" pivotButton="0" quotePrefix="0" xfId="0"/>
    <xf numFmtId="165" fontId="0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5" fillId="0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8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</cols>
  <sheetData>
    <row r="1">
      <c r="A1" s="1" t="inlineStr">
        <is>
          <t>Zapier vs Make vs n8n · Cost Comparison</t>
        </is>
      </c>
    </row>
    <row r="2">
      <c r="A2" s="2" t="inlineStr">
        <is>
          <t>Enter your volume below. Costs auto-calculate.</t>
        </is>
      </c>
    </row>
    <row r="4">
      <c r="A4" s="3" t="inlineStr">
        <is>
          <t>INPUTS</t>
        </is>
      </c>
    </row>
    <row r="5">
      <c r="A5" t="inlineStr">
        <is>
          <t>Workflows in production</t>
        </is>
      </c>
      <c r="B5" t="n">
        <v>15</v>
      </c>
    </row>
    <row r="6">
      <c r="A6" t="inlineStr">
        <is>
          <t>Average runs/day per workflow</t>
        </is>
      </c>
      <c r="B6" t="n">
        <v>50</v>
      </c>
    </row>
    <row r="7">
      <c r="A7" t="inlineStr">
        <is>
          <t>Total monthly runs</t>
        </is>
      </c>
      <c r="B7" s="4">
        <f>B5*B6*30</f>
        <v/>
      </c>
    </row>
    <row r="9">
      <c r="A9" s="3" t="inlineStr">
        <is>
          <t>TOOL COST AT YOUR VOLUME</t>
        </is>
      </c>
    </row>
    <row r="10">
      <c r="A10" s="5" t="inlineStr">
        <is>
          <t>Tool</t>
        </is>
      </c>
      <c r="B10" s="5" t="inlineStr">
        <is>
          <t>Monthly cost</t>
        </is>
      </c>
      <c r="C10" s="5" t="inlineStr">
        <is>
          <t>Annual cost</t>
        </is>
      </c>
      <c r="D10" s="5" t="inlineStr">
        <is>
          <t>Cost / 1000 runs</t>
        </is>
      </c>
      <c r="E10" s="5" t="inlineStr">
        <is>
          <t>Notes</t>
        </is>
      </c>
    </row>
    <row r="11">
      <c r="A11" s="6" t="inlineStr">
        <is>
          <t>Zapier Team</t>
        </is>
      </c>
      <c r="B11" s="7">
        <f>69+IF(B7&gt;2000,(B7-2000)*0.0085,0)</f>
        <v/>
      </c>
      <c r="C11" s="7">
        <f>B11*12</f>
        <v/>
      </c>
      <c r="D11" s="8">
        <f>B11/(B7/1000)</f>
        <v/>
      </c>
      <c r="E11" s="6" t="inlineStr">
        <is>
          <t>Most polished UX, most expensive per run</t>
        </is>
      </c>
    </row>
    <row r="12">
      <c r="A12" s="9" t="inlineStr">
        <is>
          <t>Make Core</t>
        </is>
      </c>
      <c r="B12" s="10">
        <f>9+ROUNDUP(B7/10000,0)*9</f>
        <v/>
      </c>
      <c r="C12" s="10">
        <f>B12*12</f>
        <v/>
      </c>
      <c r="D12" s="11">
        <f>B12/(B7/1000)</f>
        <v/>
      </c>
      <c r="E12" s="9" t="inlineStr">
        <is>
          <t>Best value at mid-volume, visual builder</t>
        </is>
      </c>
    </row>
    <row r="13">
      <c r="A13" s="6" t="inlineStr">
        <is>
          <t>n8n self-hosted</t>
        </is>
      </c>
      <c r="B13" s="7" t="n">
        <v>5</v>
      </c>
      <c r="C13" s="7">
        <f>B13*12</f>
        <v/>
      </c>
      <c r="D13" s="8">
        <f>B13/(B7/1000)</f>
        <v/>
      </c>
      <c r="E13" s="6" t="inlineStr">
        <is>
          <t>Unmetered. Requires dev to set up</t>
        </is>
      </c>
    </row>
    <row r="14">
      <c r="A14" s="9" t="inlineStr">
        <is>
          <t>n8n Cloud Pro</t>
        </is>
      </c>
      <c r="B14" s="10" t="n">
        <v>50</v>
      </c>
      <c r="C14" s="10">
        <f>B14*12</f>
        <v/>
      </c>
      <c r="D14" s="11">
        <f>B14/(B7/1000)</f>
        <v/>
      </c>
      <c r="E14" s="9" t="inlineStr">
        <is>
          <t>Same product, hosted by n8n</t>
        </is>
      </c>
    </row>
    <row r="17">
      <c r="A17" s="12" t="inlineStr">
        <is>
          <t>RECOMMENDATION</t>
        </is>
      </c>
    </row>
    <row r="18">
      <c r="A18" s="13">
        <f>IF(B7&lt;3000,"Zapier — simplicity wins below 100 runs/day",IF(B7&lt;30000,"Make — best $/run + features at this scale","n8n self-hosted — unmetered economics win at this scale"))</f>
        <v/>
      </c>
    </row>
  </sheetData>
  <mergeCells count="3">
    <mergeCell ref="A2:F2"/>
    <mergeCell ref="A1:F1"/>
    <mergeCell ref="A18:E1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2026-05-15T02:58:04Z</dcterms:created>
  <dcterms:modified xmlns:dcterms="http://purl.org/dc/terms/" xmlns:xsi="http://www.w3.org/2001/XMLSchema-instance" xsi:type="dcterms:W3CDTF">2026-05-15T02:58:04Z</dcterms:modified>
</cp:coreProperties>
</file>